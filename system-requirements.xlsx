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D4D2EE3C-4065-C444-BD49-873B64DB4846}" xr6:coauthVersionLast="47" xr6:coauthVersionMax="47" xr10:uidLastSave="{00000000-0000-0000-0000-000000000000}"/>
  <bookViews>
    <workbookView xWindow="0" yWindow="0" windowWidth="16384" windowHeight="8192" tabRatio="500" activeTab="4" xr2:uid="{00000000-000D-0000-FFFF-FFFF00000000}"/>
  </bookViews>
  <sheets>
    <sheet name="Instructions" sheetId="1" r:id="rId1"/>
    <sheet name="Dashboard" sheetId="2" r:id="rId2"/>
    <sheet name="Settings" sheetId="3" r:id="rId3"/>
    <sheet name="Meter Readings" sheetId="4" r:id="rId4"/>
    <sheet name="Sales" sheetId="5" r:id="rId5"/>
    <sheet name="Fuel Receipts" sheetId="6" r:id="rId6"/>
    <sheet name="Tank Stock" sheetId="7" r:id="rId7"/>
    <sheet name="Expenses" sheetId="8" r:id="rId8"/>
    <sheet name="Credit Customers" sheetId="9" r:id="rId9"/>
    <sheet name="Credit Transactions" sheetId="10" r:id="rId10"/>
    <sheet name="Reports" sheetId="11" r:id="rId1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  <c r="B12" i="11"/>
  <c r="B15" i="11"/>
  <c r="B9" i="11"/>
  <c r="B8" i="11"/>
  <c r="B7" i="11"/>
  <c r="B6" i="11"/>
  <c r="G24" i="7"/>
  <c r="I24" i="7"/>
  <c r="G23" i="7"/>
  <c r="I23" i="7"/>
  <c r="G22" i="7"/>
  <c r="I22" i="7"/>
  <c r="G21" i="7"/>
  <c r="I21" i="7"/>
  <c r="G20" i="7"/>
  <c r="I20" i="7"/>
  <c r="G19" i="7"/>
  <c r="I19" i="7"/>
  <c r="G18" i="7"/>
  <c r="I18" i="7"/>
  <c r="G17" i="7"/>
  <c r="I17" i="7"/>
  <c r="G16" i="7"/>
  <c r="I16" i="7"/>
  <c r="G15" i="7"/>
  <c r="I15" i="7"/>
  <c r="I14" i="7"/>
  <c r="G14" i="7"/>
  <c r="I13" i="7"/>
  <c r="G13" i="7"/>
  <c r="I12" i="7"/>
  <c r="G12" i="7"/>
  <c r="I11" i="7"/>
  <c r="G11" i="7"/>
  <c r="I10" i="7"/>
  <c r="G10" i="7"/>
  <c r="I9" i="7"/>
  <c r="G9" i="7"/>
  <c r="I8" i="7"/>
  <c r="G8" i="7"/>
  <c r="I7" i="7"/>
  <c r="G7" i="7"/>
  <c r="I6" i="7"/>
  <c r="G6" i="7"/>
  <c r="I5" i="7"/>
  <c r="G5" i="7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B20" i="2"/>
  <c r="D17" i="2"/>
  <c r="C17" i="2"/>
  <c r="E17" i="2"/>
  <c r="F17" i="2"/>
  <c r="D16" i="2"/>
  <c r="C16" i="2"/>
  <c r="E16" i="2"/>
  <c r="F16" i="2"/>
  <c r="B7" i="2"/>
  <c r="B11" i="2"/>
  <c r="B12" i="2"/>
  <c r="B10" i="2"/>
  <c r="B9" i="2"/>
  <c r="B8" i="2"/>
</calcChain>
</file>

<file path=xl/sharedStrings.xml><?xml version="1.0" encoding="utf-8"?>
<sst xmlns="http://schemas.openxmlformats.org/spreadsheetml/2006/main" count="313" uniqueCount="244">
  <si>
    <t>FUEL RECEIPTS (Tanker Deliveries)</t>
  </si>
  <si>
    <t>Enter every tanker delivery. This increases tank stock.</t>
  </si>
  <si>
    <t>Date</t>
  </si>
  <si>
    <t>Invoice / Challan No.</t>
  </si>
  <si>
    <t>Supplier</t>
  </si>
  <si>
    <t>Fuel</t>
  </si>
  <si>
    <t>Quantity Received (L)</t>
  </si>
  <si>
    <t>Notes</t>
  </si>
  <si>
    <t>INV-78451</t>
  </si>
  <si>
    <t>IOCL Depot</t>
  </si>
  <si>
    <t>Petrol</t>
  </si>
  <si>
    <t>Morning delivery</t>
  </si>
  <si>
    <t>INV-78489</t>
  </si>
  <si>
    <t>HPCL</t>
  </si>
  <si>
    <t>Diesel</t>
  </si>
  <si>
    <t>PETROL PUMP SOFTWARE - EXCEL VERSION</t>
  </si>
  <si>
    <t>Welcome!</t>
  </si>
  <si>
    <t>This workbook is a complete offline management system for your petrol pump with:</t>
  </si>
  <si>
    <t>• 1 Pump  •  2 Tanks (Petrol + Diesel)  •  English language</t>
  </si>
  <si>
    <t>SHEETS OVERVIEW</t>
  </si>
  <si>
    <t>Instructions</t>
  </si>
  <si>
    <t>This page – start here</t>
  </si>
  <si>
    <t>Dashboard</t>
  </si>
  <si>
    <t>Live summary of sales, stock, cash, credit, profit</t>
  </si>
  <si>
    <t>Settings</t>
  </si>
  <si>
    <t>Pump details, fuel prices, tank capacity &amp; current stock</t>
  </si>
  <si>
    <t>Meter Readings</t>
  </si>
  <si>
    <t>Daily opening &amp; closing meter readings → auto litres sold</t>
  </si>
  <si>
    <t>Sales</t>
  </si>
  <si>
    <t>Every sale transaction with payment mode</t>
  </si>
  <si>
    <t>Fuel Receipts</t>
  </si>
  <si>
    <t>Tanker deliveries that fill the tanks</t>
  </si>
  <si>
    <t>Tank Stock</t>
  </si>
  <si>
    <t>Daily stock movement + variance vs actual dip</t>
  </si>
  <si>
    <t>Expenses</t>
  </si>
  <si>
    <t>Salaries, generator, maintenance, other costs</t>
  </si>
  <si>
    <t>Credit Customers</t>
  </si>
  <si>
    <t>List of credit customers + outstanding</t>
  </si>
  <si>
    <t>Credit Transactions</t>
  </si>
  <si>
    <t>Credit sales and payment collections</t>
  </si>
  <si>
    <t>Reports</t>
  </si>
  <si>
    <t>Quick totals and profit snapshot</t>
  </si>
  <si>
    <t>DAILY ROUTINE (Recommended)</t>
  </si>
  <si>
    <t>1. Morning: Enter Opening Meter readings</t>
  </si>
  <si>
    <t>2. During day: Enter every Sale in Sales sheet</t>
  </si>
  <si>
    <t>3. When tanker arrives: Enter in Fuel Receipts</t>
  </si>
  <si>
    <t>4. Evening: Enter Closing Meter readings</t>
  </si>
  <si>
    <t>5. Enter expenses of the day</t>
  </si>
  <si>
    <t>6. Update Actual Dip in Tank Stock (if you take physical measurement)</t>
  </si>
  <si>
    <t>7. Update Current Stock in Settings sheet</t>
  </si>
  <si>
    <t>8. Check Dashboard</t>
  </si>
  <si>
    <t>COLOUR GUIDE</t>
  </si>
  <si>
    <t>Yellow cells</t>
  </si>
  <si>
    <t>You can type / edit these (inputs)</t>
  </si>
  <si>
    <t>Green cells</t>
  </si>
  <si>
    <t>Calculated automatically – do not overwrite</t>
  </si>
  <si>
    <t>Blue text</t>
  </si>
  <si>
    <t>Input values</t>
  </si>
  <si>
    <t>BACKUP</t>
  </si>
  <si>
    <t>Copy this entire file to a USB drive or Google Drive / OneDrive every day or every few days.</t>
  </si>
  <si>
    <t>This is your database backup.</t>
  </si>
  <si>
    <t>NEXT STEP – FULL SOFTWARE</t>
  </si>
  <si>
    <t>When you are ready for a proper multi-user offline desktop or web software</t>
  </si>
  <si>
    <t>(with real login, automatic backup, printer support, better reports),</t>
  </si>
  <si>
    <t>come back and we will build it on top of this same structure.</t>
  </si>
  <si>
    <t>Your setup: 1 Pump + 2 Tanks | Offline | English</t>
  </si>
  <si>
    <t>PETROL PUMP MANAGEMENT SYSTEM - DASHBOARD</t>
  </si>
  <si>
    <t>Generated: 09-Aug-2026 04:27 | Offline Excel Version | 1 Pump · 2 Tanks</t>
  </si>
  <si>
    <t>Select Date</t>
  </si>
  <si>
    <t>← Change this date to view different day summaries (formulas use TODAY by default)</t>
  </si>
  <si>
    <t>TODAY'S KEY METRICS</t>
  </si>
  <si>
    <t>Today's Total Sales (₹)</t>
  </si>
  <si>
    <t>Cash Collected Today (₹)</t>
  </si>
  <si>
    <t>UPI / Card Today (₹)</t>
  </si>
  <si>
    <t>Credit Sales Today (₹)</t>
  </si>
  <si>
    <t>Total Expenses Today (₹)</t>
  </si>
  <si>
    <t>Estimated Daily Profit (₹)</t>
  </si>
  <si>
    <t>CURRENT FUEL STOCK</t>
  </si>
  <si>
    <t>Tank</t>
  </si>
  <si>
    <t>Fuel Type</t>
  </si>
  <si>
    <t>Current Stock (L)</t>
  </si>
  <si>
    <t>Capacity (L)</t>
  </si>
  <si>
    <t>% Full</t>
  </si>
  <si>
    <t>Status</t>
  </si>
  <si>
    <t>Tank 1</t>
  </si>
  <si>
    <t>Tank 2</t>
  </si>
  <si>
    <t>CREDIT OUTSTANDING</t>
  </si>
  <si>
    <t>Total Outstanding Credit (₹)</t>
  </si>
  <si>
    <t>HOW TO USE THIS WORKBOOK</t>
  </si>
  <si>
    <t>1. Go to SETTINGS sheet first → Enter your pump name, fuel prices, tank capacities and current stock.</t>
  </si>
  <si>
    <t>2. Every day: Enter Opening &amp; Closing Meter Readings in METER READINGS sheet.</t>
  </si>
  <si>
    <t>3. Record every sale in SALES sheet (Date, Pump, Liters, Payment mode).</t>
  </si>
  <si>
    <t>4. When tanker comes: Enter receipt in FUEL RECEIPTS sheet.</t>
  </si>
  <si>
    <t>5. Record expenses in EXPENSES sheet.</t>
  </si>
  <si>
    <t>6. Manage credit customers in CREDIT CUSTOMERS and CREDIT TRANSACTIONS sheets.</t>
  </si>
  <si>
    <t>7. Dashboard and REPORTS update automatically using formulas.</t>
  </si>
  <si>
    <t>8. Yellow cells = your inputs (type in them). Green cells = calculated (do not edit).</t>
  </si>
  <si>
    <t>9. This file works 100% offline. Take daily backup by copying the file to USB/Drive.</t>
  </si>
  <si>
    <t>SETTINGS &amp; MASTER DATA</t>
  </si>
  <si>
    <t>PETROL PUMP INFORMATION</t>
  </si>
  <si>
    <t>Pump Name</t>
  </si>
  <si>
    <t>My Petrol Pump</t>
  </si>
  <si>
    <t>Address</t>
  </si>
  <si>
    <t>Your Address Here</t>
  </si>
  <si>
    <t>Owner / Manager Name</t>
  </si>
  <si>
    <t>Owner Name</t>
  </si>
  <si>
    <t>Contact Number</t>
  </si>
  <si>
    <t>9876543210</t>
  </si>
  <si>
    <t>GSTIN (if any)</t>
  </si>
  <si>
    <t>FUEL PRICES (₹ per Litre) - Update when price changes</t>
  </si>
  <si>
    <t>Current Price (₹/L)</t>
  </si>
  <si>
    <t>Last Updated</t>
  </si>
  <si>
    <t>TANK CAPACITY &amp; CURRENT STOCK</t>
  </si>
  <si>
    <t>Capacity (Litres)</t>
  </si>
  <si>
    <t>Current Stock (L) ← Update after every dip / day</t>
  </si>
  <si>
    <t>Note: After physical dip or end of day, update Current Stock (column D) above.</t>
  </si>
  <si>
    <t>PUMP / NOZZLE CONFIGURATION (1 Pump with 2 Nozzles)</t>
  </si>
  <si>
    <t>Pump No.</t>
  </si>
  <si>
    <t>Connected Tank / Fuel</t>
  </si>
  <si>
    <t>Pump 1 - Nozzle 1</t>
  </si>
  <si>
    <t>Petrol (Tank 1)</t>
  </si>
  <si>
    <t>Main road side</t>
  </si>
  <si>
    <t>Pump 1 - Nozzle 2</t>
  </si>
  <si>
    <t>Diesel (Tank 2)</t>
  </si>
  <si>
    <t>Highway side</t>
  </si>
  <si>
    <t>USER ROLES (Manual for Excel)</t>
  </si>
  <si>
    <t>Admin: Full access (you)</t>
  </si>
  <si>
    <t>Manager: Can edit sales, stock, expenses, credit</t>
  </si>
  <si>
    <t>Operator: Can only enter meter readings &amp; sales</t>
  </si>
  <si>
    <t>Tip: Protect sheets with password (Review → Protect Sheet) for real control.</t>
  </si>
  <si>
    <t>METER READINGS (Daily)</t>
  </si>
  <si>
    <t>Enter Opening reading at start of day / shift. Enter Closing at end. Total Sold is auto-calculated.</t>
  </si>
  <si>
    <t>Pump</t>
  </si>
  <si>
    <t>Opening Meter</t>
  </si>
  <si>
    <t>Closing Meter</t>
  </si>
  <si>
    <t>Total Litres Sold</t>
  </si>
  <si>
    <t>Shift / Notes</t>
  </si>
  <si>
    <t>Entered By</t>
  </si>
  <si>
    <t>Pump 1</t>
  </si>
  <si>
    <t>Day</t>
  </si>
  <si>
    <t>Operator</t>
  </si>
  <si>
    <t>Amount (₹)</t>
  </si>
  <si>
    <t>Cash</t>
  </si>
  <si>
    <t>MH12AB1234</t>
  </si>
  <si>
    <t>UPI</t>
  </si>
  <si>
    <t>TANK STOCK &amp; VARIANCE</t>
  </si>
  <si>
    <t>Daily stock movement. Closing Stock = Opening + Received - Sold. Variance = Book Closing - Actual Dip.</t>
  </si>
  <si>
    <t>Opening Stock (L)</t>
  </si>
  <si>
    <t>Received (L)</t>
  </si>
  <si>
    <t>Sold (L)</t>
  </si>
  <si>
    <t>Book Closing (L)</t>
  </si>
  <si>
    <t>Actual Dip (L)</t>
  </si>
  <si>
    <t>Variance (L)</t>
  </si>
  <si>
    <t>EXPENSE MANAGEMENT</t>
  </si>
  <si>
    <t>Category</t>
  </si>
  <si>
    <t>Description</t>
  </si>
  <si>
    <t>Paid By</t>
  </si>
  <si>
    <t>Salary</t>
  </si>
  <si>
    <t>Staff salary - Week</t>
  </si>
  <si>
    <t>Generator Fuel</t>
  </si>
  <si>
    <t>Diesel for generator</t>
  </si>
  <si>
    <t>Maintenance</t>
  </si>
  <si>
    <t>Nozzle repair</t>
  </si>
  <si>
    <t>Other</t>
  </si>
  <si>
    <t>Tea &amp; misc</t>
  </si>
  <si>
    <t>CREDIT CUSTOMERS MASTER</t>
  </si>
  <si>
    <t>Customer ID</t>
  </si>
  <si>
    <t>Customer Name</t>
  </si>
  <si>
    <t>Phone</t>
  </si>
  <si>
    <t>Vehicle / Firm</t>
  </si>
  <si>
    <t>Outstanding (₹)</t>
  </si>
  <si>
    <t>Credit Limit (₹)</t>
  </si>
  <si>
    <t>C001</t>
  </si>
  <si>
    <t>Sharma Transport</t>
  </si>
  <si>
    <t>9876501234</t>
  </si>
  <si>
    <t>C002</t>
  </si>
  <si>
    <t>Patil Brothers</t>
  </si>
  <si>
    <t>9822012345</t>
  </si>
  <si>
    <t>MH14CD5678</t>
  </si>
  <si>
    <t>C003</t>
  </si>
  <si>
    <t>Local Taxi Stand</t>
  </si>
  <si>
    <t>9765432109</t>
  </si>
  <si>
    <t>Multiple</t>
  </si>
  <si>
    <t>C004</t>
  </si>
  <si>
    <t>Mr. Deshmukh</t>
  </si>
  <si>
    <t>9881234567</t>
  </si>
  <si>
    <t>MH12EF9012</t>
  </si>
  <si>
    <t>Note: Outstanding is updated manually or from Credit Transactions sheet. Keep this list updated.</t>
  </si>
  <si>
    <t>CREDIT SALES &amp; COLLECTIONS</t>
  </si>
  <si>
    <t>Type</t>
  </si>
  <si>
    <t>Reference / Bill</t>
  </si>
  <si>
    <t>Credit Sale</t>
  </si>
  <si>
    <t>Sale #1023</t>
  </si>
  <si>
    <t>Sale #1018</t>
  </si>
  <si>
    <t>Payment Received</t>
  </si>
  <si>
    <t>Partial payment</t>
  </si>
  <si>
    <t>Sale #1009</t>
  </si>
  <si>
    <t>REPORTS &amp; SUMMARIES</t>
  </si>
  <si>
    <t>DAILY SALES SUMMARY (Auto from Sales sheet)</t>
  </si>
  <si>
    <t>Metric</t>
  </si>
  <si>
    <t>Value</t>
  </si>
  <si>
    <t>Total Sales Amount (All time sample)</t>
  </si>
  <si>
    <t>Total Petrol Litres Sold</t>
  </si>
  <si>
    <t>Total Diesel Litres Sold</t>
  </si>
  <si>
    <t>Cash Sales Total</t>
  </si>
  <si>
    <t>Credit Sales Total</t>
  </si>
  <si>
    <t>EXPENSE TOTAL</t>
  </si>
  <si>
    <t>All Expenses (sample period)</t>
  </si>
  <si>
    <t>PROFIT SNAPSHOT (Approximate)</t>
  </si>
  <si>
    <t>Sales - Expenses</t>
  </si>
  <si>
    <t>STOCK VARIANCE (from Tank Stock sheet)</t>
  </si>
  <si>
    <t>Note: Review Tank Stock sheet regularly. Positive variance = book higher than actual (possible loss/theft/evaporation).</t>
  </si>
  <si>
    <t>HOW TO GET MORE REPORTS</t>
  </si>
  <si>
    <t>• Filter any sheet by Date column (Data → Filter)</t>
  </si>
  <si>
    <t>• Use Pivot Tables for monthly summaries (Insert → PivotTable)</t>
  </si>
  <si>
    <t>• Copy Dashboard or this sheet values for daily printout</t>
  </si>
  <si>
    <t>• For full software later: we can add automatic PDF daily reports, WhatsApp alerts, multi-user login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</si>
</sst>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.00"/>
    <numFmt numFmtId="166" formatCode="0.0%"/>
    <numFmt numFmtId="167" formatCode="0.000"/>
    <numFmt numFmtId="168" formatCode="\₹#,##0"/>
  </numFmts>
  <fonts count="14" x14ac:knownFonts="1">
    <font>
      <sz val="11"/>
      <color theme="1"/>
      <name val="Calibri"/>
      <family val="2"/>
      <charset val="1"/>
    </font>
    <font>
      <b/>
      <sz val="18"/>
      <color rgb="FF1F4E79"/>
      <name val="Arial"/>
      <charset val="1"/>
    </font>
    <font>
      <b/>
      <sz val="12"/>
      <color rgb="FF1F4E7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4E79"/>
      <name val="Arial"/>
      <charset val="1"/>
    </font>
    <font>
      <i/>
      <sz val="9"/>
      <color rgb="FF666666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006100"/>
      <name val="Arial"/>
      <charset val="1"/>
    </font>
    <font>
      <b/>
      <sz val="14"/>
      <color rgb="FFFFFFFF"/>
      <name val="Arial"/>
      <charset val="1"/>
    </font>
    <font>
      <sz val="9"/>
      <name val="Arial"/>
      <charset val="1"/>
    </font>
    <font>
      <i/>
      <sz val="9"/>
      <color rgb="FFC00000"/>
      <name val="Arial"/>
      <charset val="1"/>
    </font>
    <font>
      <i/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CE4D6"/>
        <bgColor rgb="FFE2EFDA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4" fontId="7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/>
    <xf numFmtId="165" fontId="8" fillId="4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4" fontId="8" fillId="4" borderId="1" xfId="0" applyNumberFormat="1" applyFont="1" applyFill="1" applyBorder="1"/>
    <xf numFmtId="165" fontId="8" fillId="4" borderId="1" xfId="0" applyNumberFormat="1" applyFont="1" applyFill="1" applyBorder="1"/>
    <xf numFmtId="167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165" fontId="7" fillId="2" borderId="1" xfId="0" applyNumberFormat="1" applyFont="1" applyFill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5" fontId="0" fillId="4" borderId="1" xfId="0" applyNumberFormat="1" applyFill="1" applyBorder="1"/>
    <xf numFmtId="165" fontId="9" fillId="5" borderId="1" xfId="0" applyNumberFormat="1" applyFont="1" applyFill="1" applyBorder="1"/>
    <xf numFmtId="0" fontId="2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6" fillId="0" borderId="0" xfId="0" applyFont="1"/>
    <xf numFmtId="0" fontId="1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/>
    <xf numFmtId="0" fontId="11" fillId="0" borderId="0" xfId="0" applyFont="1"/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0" borderId="0" xfId="0" applyFont="1"/>
    <xf numFmtId="0" fontId="6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zoomScaleNormal="100" workbookViewId="0"/>
  </sheetViews>
  <sheetFormatPr defaultColWidth="8.7421875" defaultRowHeight="15" x14ac:dyDescent="0.2"/>
  <cols>
    <col min="1" max="1" width="22.05859375" customWidth="1"/>
    <col min="2" max="2" width="55.01953125" customWidth="1"/>
  </cols>
  <sheetData>
    <row r="1" spans="1:2" ht="22.5" customHeight="1" x14ac:dyDescent="0.25">
      <c r="A1" s="36" t="s">
        <v>15</v>
      </c>
      <c r="B1" s="35"/>
    </row>
    <row r="3" spans="1:2" x14ac:dyDescent="0.2">
      <c r="A3" s="29" t="s">
        <v>16</v>
      </c>
    </row>
    <row r="5" spans="1:2" x14ac:dyDescent="0.2">
      <c r="A5" t="s">
        <v>17</v>
      </c>
    </row>
    <row r="6" spans="1:2" x14ac:dyDescent="0.2">
      <c r="A6" t="s">
        <v>18</v>
      </c>
    </row>
    <row r="8" spans="1:2" x14ac:dyDescent="0.2">
      <c r="A8" s="29" t="s">
        <v>19</v>
      </c>
    </row>
    <row r="10" spans="1:2" x14ac:dyDescent="0.2">
      <c r="A10" s="1" t="s">
        <v>20</v>
      </c>
      <c r="B10" s="2" t="s">
        <v>21</v>
      </c>
    </row>
    <row r="11" spans="1:2" x14ac:dyDescent="0.2">
      <c r="A11" s="1" t="s">
        <v>22</v>
      </c>
      <c r="B11" s="2" t="s">
        <v>23</v>
      </c>
    </row>
    <row r="12" spans="1:2" x14ac:dyDescent="0.2">
      <c r="A12" s="1" t="s">
        <v>24</v>
      </c>
      <c r="B12" s="2" t="s">
        <v>25</v>
      </c>
    </row>
    <row r="13" spans="1:2" x14ac:dyDescent="0.2">
      <c r="A13" s="1" t="s">
        <v>26</v>
      </c>
      <c r="B13" s="2" t="s">
        <v>27</v>
      </c>
    </row>
    <row r="14" spans="1:2" x14ac:dyDescent="0.2">
      <c r="A14" s="1" t="s">
        <v>28</v>
      </c>
      <c r="B14" s="2" t="s">
        <v>29</v>
      </c>
    </row>
    <row r="15" spans="1:2" x14ac:dyDescent="0.2">
      <c r="A15" s="1" t="s">
        <v>30</v>
      </c>
      <c r="B15" s="2" t="s">
        <v>31</v>
      </c>
    </row>
    <row r="16" spans="1:2" x14ac:dyDescent="0.2">
      <c r="A16" s="1" t="s">
        <v>32</v>
      </c>
      <c r="B16" s="2" t="s">
        <v>33</v>
      </c>
    </row>
    <row r="17" spans="1:2" x14ac:dyDescent="0.2">
      <c r="A17" s="1" t="s">
        <v>34</v>
      </c>
      <c r="B17" s="2" t="s">
        <v>35</v>
      </c>
    </row>
    <row r="18" spans="1:2" x14ac:dyDescent="0.2">
      <c r="A18" s="1" t="s">
        <v>36</v>
      </c>
      <c r="B18" s="2" t="s">
        <v>37</v>
      </c>
    </row>
    <row r="19" spans="1:2" x14ac:dyDescent="0.2">
      <c r="A19" s="1" t="s">
        <v>38</v>
      </c>
      <c r="B19" s="2" t="s">
        <v>39</v>
      </c>
    </row>
    <row r="20" spans="1:2" x14ac:dyDescent="0.2">
      <c r="A20" s="1" t="s">
        <v>40</v>
      </c>
      <c r="B20" s="2" t="s">
        <v>41</v>
      </c>
    </row>
    <row r="23" spans="1:2" x14ac:dyDescent="0.2">
      <c r="A23" s="29" t="s">
        <v>42</v>
      </c>
    </row>
    <row r="24" spans="1:2" x14ac:dyDescent="0.2">
      <c r="A24" t="s">
        <v>43</v>
      </c>
    </row>
    <row r="25" spans="1:2" x14ac:dyDescent="0.2">
      <c r="A25" t="s">
        <v>44</v>
      </c>
    </row>
    <row r="26" spans="1:2" x14ac:dyDescent="0.2">
      <c r="A26" t="s">
        <v>45</v>
      </c>
    </row>
    <row r="27" spans="1:2" x14ac:dyDescent="0.2">
      <c r="A27" t="s">
        <v>46</v>
      </c>
    </row>
    <row r="28" spans="1:2" x14ac:dyDescent="0.2">
      <c r="A28" t="s">
        <v>47</v>
      </c>
    </row>
    <row r="29" spans="1:2" x14ac:dyDescent="0.2">
      <c r="A29" t="s">
        <v>48</v>
      </c>
    </row>
    <row r="30" spans="1:2" x14ac:dyDescent="0.2">
      <c r="A30" t="s">
        <v>49</v>
      </c>
    </row>
    <row r="31" spans="1:2" x14ac:dyDescent="0.2">
      <c r="A31" t="s">
        <v>50</v>
      </c>
    </row>
    <row r="33" spans="1:2" x14ac:dyDescent="0.2">
      <c r="A33" s="29" t="s">
        <v>51</v>
      </c>
    </row>
    <row r="34" spans="1:2" x14ac:dyDescent="0.2">
      <c r="A34" t="s">
        <v>52</v>
      </c>
      <c r="B34" t="s">
        <v>53</v>
      </c>
    </row>
    <row r="35" spans="1:2" x14ac:dyDescent="0.2">
      <c r="A35" t="s">
        <v>54</v>
      </c>
      <c r="B35" t="s">
        <v>55</v>
      </c>
    </row>
    <row r="36" spans="1:2" x14ac:dyDescent="0.2">
      <c r="A36" t="s">
        <v>56</v>
      </c>
      <c r="B36" t="s">
        <v>57</v>
      </c>
    </row>
    <row r="38" spans="1:2" x14ac:dyDescent="0.2">
      <c r="A38" s="29" t="s">
        <v>58</v>
      </c>
    </row>
    <row r="39" spans="1:2" x14ac:dyDescent="0.2">
      <c r="A39" t="s">
        <v>59</v>
      </c>
    </row>
    <row r="40" spans="1:2" x14ac:dyDescent="0.2">
      <c r="A40" t="s">
        <v>60</v>
      </c>
    </row>
    <row r="42" spans="1:2" x14ac:dyDescent="0.2">
      <c r="A42" s="29" t="s">
        <v>61</v>
      </c>
    </row>
    <row r="43" spans="1:2" x14ac:dyDescent="0.2">
      <c r="A43" t="s">
        <v>62</v>
      </c>
    </row>
    <row r="44" spans="1:2" x14ac:dyDescent="0.2">
      <c r="A44" t="s">
        <v>63</v>
      </c>
    </row>
    <row r="45" spans="1:2" x14ac:dyDescent="0.2">
      <c r="A45" t="s">
        <v>64</v>
      </c>
    </row>
    <row r="47" spans="1:2" x14ac:dyDescent="0.2">
      <c r="A47" s="3" t="s">
        <v>65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C1" zoomScaleNormal="100" workbookViewId="0">
      <pane ySplit="3" topLeftCell="C4" activePane="bottomLeft" state="frozen"/>
      <selection activeCell="C1" sqref="C1"/>
      <selection pane="bottomLeft"/>
    </sheetView>
  </sheetViews>
  <sheetFormatPr defaultColWidth="8.7421875" defaultRowHeight="15" x14ac:dyDescent="0.2"/>
  <cols>
    <col min="1" max="1" width="32.015625" customWidth="1"/>
    <col min="2" max="3" width="18.0234375" customWidth="1"/>
    <col min="4" max="4" width="13.98828125" customWidth="1"/>
    <col min="5" max="5" width="11.97265625" customWidth="1"/>
    <col min="6" max="8" width="13.98828125" customWidth="1"/>
  </cols>
  <sheetData>
    <row r="1" spans="1:8" ht="27.75" customHeight="1" x14ac:dyDescent="0.2">
      <c r="A1" s="34" t="s">
        <v>66</v>
      </c>
      <c r="B1" s="35"/>
      <c r="C1" s="35"/>
      <c r="D1" s="35"/>
      <c r="E1" s="35"/>
      <c r="F1" s="35"/>
      <c r="G1" s="35"/>
      <c r="H1" s="35"/>
    </row>
    <row r="2" spans="1:8" ht="15" customHeight="1" x14ac:dyDescent="0.2">
      <c r="A2" s="39" t="s">
        <v>67</v>
      </c>
      <c r="B2" s="35"/>
      <c r="C2" s="35"/>
      <c r="D2" s="35"/>
      <c r="E2" s="35"/>
      <c r="F2" s="35"/>
      <c r="G2" s="35"/>
      <c r="H2" s="35"/>
    </row>
    <row r="4" spans="1:8" x14ac:dyDescent="0.2">
      <c r="A4" s="29" t="s">
        <v>68</v>
      </c>
      <c r="B4" s="4">
        <v>46243</v>
      </c>
      <c r="C4" s="32" t="s">
        <v>69</v>
      </c>
    </row>
    <row r="6" spans="1:8" x14ac:dyDescent="0.2">
      <c r="A6" s="38" t="s">
        <v>70</v>
      </c>
      <c r="B6" s="35"/>
      <c r="C6" s="35"/>
      <c r="D6" s="35"/>
    </row>
    <row r="7" spans="1:8" x14ac:dyDescent="0.2">
      <c r="A7" s="5" t="s">
        <v>71</v>
      </c>
      <c r="B7" s="6">
        <f ca="1">SUMIF(Sales!A:A,TEXT(TODAY(),"YYYY-MM-DD"),Sales!G:G)</f>
        <v>0</v>
      </c>
    </row>
    <row r="8" spans="1:8" x14ac:dyDescent="0.2">
      <c r="A8" s="5" t="s">
        <v>72</v>
      </c>
      <c r="B8" s="6">
        <f ca="1">SUMIFS(Sales!G:G,Sales!A:A,TEXT(TODAY(),"YYYY-MM-DD"),Sales!F:F,"Cash")</f>
        <v>0</v>
      </c>
    </row>
    <row r="9" spans="1:8" x14ac:dyDescent="0.2">
      <c r="A9" s="5" t="s">
        <v>73</v>
      </c>
      <c r="B9" s="6">
        <f ca="1">SUMIFS(Sales!G:G,Sales!A:A,TEXT(TODAY(),"YYYY-MM-DD"),Sales!F:F,"&lt;&gt;Cash")-SUMIFS(Sales!G:G,Sales!A:A,TEXT(TODAY(),"YYYY-MM-DD"),Sales!F:F,"Credit")</f>
        <v>0</v>
      </c>
    </row>
    <row r="10" spans="1:8" x14ac:dyDescent="0.2">
      <c r="A10" s="5" t="s">
        <v>74</v>
      </c>
      <c r="B10" s="6">
        <f ca="1">SUMIFS(Sales!G:G,Sales!A:A,TEXT(TODAY(),"YYYY-MM-DD"),Sales!F:F,"Credit")</f>
        <v>0</v>
      </c>
    </row>
    <row r="11" spans="1:8" x14ac:dyDescent="0.2">
      <c r="A11" s="5" t="s">
        <v>75</v>
      </c>
      <c r="B11" s="6">
        <f ca="1">SUMIF(Expenses!A:A,TEXT(TODAY(),"YYYY-MM-DD"),Expenses!D:D)</f>
        <v>0</v>
      </c>
    </row>
    <row r="12" spans="1:8" x14ac:dyDescent="0.2">
      <c r="A12" s="5" t="s">
        <v>76</v>
      </c>
      <c r="B12" s="7">
        <f ca="1">B7-B11</f>
        <v>0</v>
      </c>
    </row>
    <row r="14" spans="1:8" x14ac:dyDescent="0.2">
      <c r="A14" s="38" t="s">
        <v>77</v>
      </c>
      <c r="B14" s="35"/>
      <c r="C14" s="35"/>
      <c r="D14" s="35"/>
    </row>
    <row r="15" spans="1:8" ht="33" customHeight="1" x14ac:dyDescent="0.2">
      <c r="A15" s="8" t="s">
        <v>78</v>
      </c>
      <c r="B15" s="8" t="s">
        <v>79</v>
      </c>
      <c r="C15" s="8" t="s">
        <v>80</v>
      </c>
      <c r="D15" s="8" t="s">
        <v>81</v>
      </c>
      <c r="E15" s="8" t="s">
        <v>82</v>
      </c>
      <c r="F15" s="8" t="s">
        <v>83</v>
      </c>
    </row>
    <row r="16" spans="1:8" x14ac:dyDescent="0.2">
      <c r="A16" s="9" t="s">
        <v>84</v>
      </c>
      <c r="B16" s="9" t="s">
        <v>10</v>
      </c>
      <c r="C16" s="10">
        <f>Settings!D17</f>
        <v>12500</v>
      </c>
      <c r="D16" s="11">
        <f>Settings!C17</f>
        <v>20000</v>
      </c>
      <c r="E16" s="12">
        <f>IF(D16=0,0,C16/D16)</f>
        <v>0.625</v>
      </c>
      <c r="F16" s="9" t="str">
        <f>IF(E16&lt;0.2,"LOW STOCK",IF(E16&lt;0.4,"Reorder Soon","OK"))</f>
        <v>OK</v>
      </c>
    </row>
    <row r="17" spans="1:8" x14ac:dyDescent="0.2">
      <c r="A17" s="9" t="s">
        <v>85</v>
      </c>
      <c r="B17" s="9" t="s">
        <v>14</v>
      </c>
      <c r="C17" s="10">
        <f>Settings!D18</f>
        <v>9800</v>
      </c>
      <c r="D17" s="11">
        <f>Settings!C18</f>
        <v>15000</v>
      </c>
      <c r="E17" s="12">
        <f>IF(D17=0,0,C17/D17)</f>
        <v>0.65333333333333332</v>
      </c>
      <c r="F17" s="9" t="str">
        <f>IF(E17&lt;0.2,"LOW STOCK",IF(E17&lt;0.4,"Reorder Soon","OK"))</f>
        <v>OK</v>
      </c>
    </row>
    <row r="19" spans="1:8" x14ac:dyDescent="0.2">
      <c r="A19" s="29" t="s">
        <v>86</v>
      </c>
    </row>
    <row r="20" spans="1:8" x14ac:dyDescent="0.2">
      <c r="A20" t="s">
        <v>87</v>
      </c>
      <c r="B20" s="13">
        <f>SUMIF('Credit Customers'!E:E,"&gt;0",'Credit Customers'!E:E)</f>
        <v>24150</v>
      </c>
    </row>
    <row r="22" spans="1:8" x14ac:dyDescent="0.2">
      <c r="A22" s="38" t="s">
        <v>88</v>
      </c>
      <c r="B22" s="35"/>
      <c r="C22" s="35"/>
      <c r="D22" s="35"/>
      <c r="E22" s="35"/>
      <c r="F22" s="35"/>
      <c r="G22" s="35"/>
      <c r="H22" s="35"/>
    </row>
    <row r="23" spans="1:8" x14ac:dyDescent="0.2">
      <c r="A23" s="37" t="s">
        <v>89</v>
      </c>
      <c r="B23" s="35"/>
      <c r="C23" s="35"/>
      <c r="D23" s="35"/>
      <c r="E23" s="35"/>
      <c r="F23" s="35"/>
      <c r="G23" s="35"/>
      <c r="H23" s="35"/>
    </row>
    <row r="24" spans="1:8" x14ac:dyDescent="0.2">
      <c r="A24" s="37" t="s">
        <v>90</v>
      </c>
      <c r="B24" s="35"/>
      <c r="C24" s="35"/>
      <c r="D24" s="35"/>
      <c r="E24" s="35"/>
      <c r="F24" s="35"/>
      <c r="G24" s="35"/>
      <c r="H24" s="35"/>
    </row>
    <row r="25" spans="1:8" x14ac:dyDescent="0.2">
      <c r="A25" s="37" t="s">
        <v>91</v>
      </c>
      <c r="B25" s="35"/>
      <c r="C25" s="35"/>
      <c r="D25" s="35"/>
      <c r="E25" s="35"/>
      <c r="F25" s="35"/>
      <c r="G25" s="35"/>
      <c r="H25" s="35"/>
    </row>
    <row r="26" spans="1:8" x14ac:dyDescent="0.2">
      <c r="A26" s="37" t="s">
        <v>92</v>
      </c>
      <c r="B26" s="35"/>
      <c r="C26" s="35"/>
      <c r="D26" s="35"/>
      <c r="E26" s="35"/>
      <c r="F26" s="35"/>
      <c r="G26" s="35"/>
      <c r="H26" s="35"/>
    </row>
    <row r="27" spans="1:8" x14ac:dyDescent="0.2">
      <c r="A27" s="37" t="s">
        <v>93</v>
      </c>
      <c r="B27" s="35"/>
      <c r="C27" s="35"/>
      <c r="D27" s="35"/>
      <c r="E27" s="35"/>
      <c r="F27" s="35"/>
      <c r="G27" s="35"/>
      <c r="H27" s="35"/>
    </row>
    <row r="28" spans="1:8" x14ac:dyDescent="0.2">
      <c r="A28" s="37" t="s">
        <v>94</v>
      </c>
      <c r="B28" s="35"/>
      <c r="C28" s="35"/>
      <c r="D28" s="35"/>
      <c r="E28" s="35"/>
      <c r="F28" s="35"/>
      <c r="G28" s="35"/>
      <c r="H28" s="35"/>
    </row>
    <row r="29" spans="1:8" x14ac:dyDescent="0.2">
      <c r="A29" s="37" t="s">
        <v>95</v>
      </c>
      <c r="B29" s="35"/>
      <c r="C29" s="35"/>
      <c r="D29" s="35"/>
      <c r="E29" s="35"/>
      <c r="F29" s="35"/>
      <c r="G29" s="35"/>
      <c r="H29" s="35"/>
    </row>
    <row r="30" spans="1:8" x14ac:dyDescent="0.2">
      <c r="A30" s="37" t="s">
        <v>96</v>
      </c>
      <c r="B30" s="35"/>
      <c r="C30" s="35"/>
      <c r="D30" s="35"/>
      <c r="E30" s="35"/>
      <c r="F30" s="35"/>
      <c r="G30" s="35"/>
      <c r="H30" s="35"/>
    </row>
    <row r="31" spans="1:8" x14ac:dyDescent="0.2">
      <c r="A31" s="37" t="s">
        <v>97</v>
      </c>
      <c r="B31" s="35"/>
      <c r="C31" s="35"/>
      <c r="D31" s="35"/>
      <c r="E31" s="35"/>
      <c r="F31" s="35"/>
      <c r="G31" s="35"/>
      <c r="H31" s="35"/>
    </row>
  </sheetData>
  <mergeCells count="14">
    <mergeCell ref="A31:H31"/>
    <mergeCell ref="A14:D14"/>
    <mergeCell ref="A2:H2"/>
    <mergeCell ref="A22:H22"/>
    <mergeCell ref="A28:H28"/>
    <mergeCell ref="A1:H1"/>
    <mergeCell ref="A23:H23"/>
    <mergeCell ref="A27:H27"/>
    <mergeCell ref="A26:H26"/>
    <mergeCell ref="A30:H30"/>
    <mergeCell ref="A29:H29"/>
    <mergeCell ref="A6:D6"/>
    <mergeCell ref="A25:H25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opLeftCell="B1" zoomScaleNormal="100" workbookViewId="0">
      <selection activeCell="A25" sqref="A25"/>
    </sheetView>
  </sheetViews>
  <sheetFormatPr defaultColWidth="8.7421875" defaultRowHeight="15" x14ac:dyDescent="0.2"/>
  <cols>
    <col min="1" max="2" width="27.98046875" customWidth="1"/>
    <col min="3" max="3" width="22.05859375" customWidth="1"/>
    <col min="4" max="4" width="45.0625" customWidth="1"/>
  </cols>
  <sheetData>
    <row r="1" spans="1:5" ht="22.15" customHeight="1" x14ac:dyDescent="0.2">
      <c r="A1" s="34" t="s">
        <v>98</v>
      </c>
      <c r="B1" s="35"/>
      <c r="C1" s="35"/>
      <c r="D1" s="35"/>
      <c r="E1" s="35"/>
    </row>
    <row r="3" spans="1:5" x14ac:dyDescent="0.2">
      <c r="A3" s="38" t="s">
        <v>99</v>
      </c>
      <c r="B3" s="35"/>
      <c r="C3" s="35"/>
    </row>
    <row r="4" spans="1:5" ht="15" customHeight="1" x14ac:dyDescent="0.2">
      <c r="A4" s="5" t="s">
        <v>100</v>
      </c>
      <c r="B4" s="40" t="s">
        <v>101</v>
      </c>
      <c r="C4" s="41"/>
    </row>
    <row r="5" spans="1:5" ht="15" customHeight="1" x14ac:dyDescent="0.2">
      <c r="A5" s="5" t="s">
        <v>102</v>
      </c>
      <c r="B5" s="40" t="s">
        <v>103</v>
      </c>
      <c r="C5" s="41"/>
    </row>
    <row r="6" spans="1:5" ht="15" customHeight="1" x14ac:dyDescent="0.2">
      <c r="A6" s="5" t="s">
        <v>104</v>
      </c>
      <c r="B6" s="40" t="s">
        <v>105</v>
      </c>
      <c r="C6" s="41"/>
    </row>
    <row r="7" spans="1:5" ht="15" customHeight="1" x14ac:dyDescent="0.2">
      <c r="A7" s="5" t="s">
        <v>106</v>
      </c>
      <c r="B7" s="40" t="s">
        <v>107</v>
      </c>
      <c r="C7" s="41"/>
    </row>
    <row r="8" spans="1:5" x14ac:dyDescent="0.2">
      <c r="A8" s="5" t="s">
        <v>108</v>
      </c>
      <c r="B8" s="40"/>
      <c r="C8" s="41"/>
    </row>
    <row r="10" spans="1:5" x14ac:dyDescent="0.2">
      <c r="A10" s="38" t="s">
        <v>109</v>
      </c>
      <c r="B10" s="35"/>
      <c r="C10" s="35"/>
    </row>
    <row r="11" spans="1:5" ht="18" customHeight="1" x14ac:dyDescent="0.2">
      <c r="A11" s="8" t="s">
        <v>5</v>
      </c>
      <c r="B11" s="8" t="s">
        <v>110</v>
      </c>
      <c r="C11" s="8" t="s">
        <v>111</v>
      </c>
    </row>
    <row r="12" spans="1:5" x14ac:dyDescent="0.2">
      <c r="A12" s="14" t="s">
        <v>10</v>
      </c>
      <c r="B12" s="15">
        <v>102.5</v>
      </c>
      <c r="C12" s="4">
        <v>46243</v>
      </c>
    </row>
    <row r="13" spans="1:5" x14ac:dyDescent="0.2">
      <c r="A13" s="14" t="s">
        <v>14</v>
      </c>
      <c r="B13" s="15">
        <v>90.75</v>
      </c>
      <c r="C13" s="4">
        <v>46243</v>
      </c>
    </row>
    <row r="15" spans="1:5" x14ac:dyDescent="0.2">
      <c r="A15" s="38" t="s">
        <v>112</v>
      </c>
      <c r="B15" s="35"/>
      <c r="C15" s="35"/>
      <c r="D15" s="35"/>
    </row>
    <row r="16" spans="1:5" ht="33" customHeight="1" x14ac:dyDescent="0.2">
      <c r="A16" s="8" t="s">
        <v>78</v>
      </c>
      <c r="B16" s="8" t="s">
        <v>79</v>
      </c>
      <c r="C16" s="8" t="s">
        <v>113</v>
      </c>
      <c r="D16" s="8" t="s">
        <v>114</v>
      </c>
    </row>
    <row r="17" spans="1:4" x14ac:dyDescent="0.2">
      <c r="A17" s="14" t="s">
        <v>84</v>
      </c>
      <c r="B17" s="14" t="s">
        <v>10</v>
      </c>
      <c r="C17" s="16">
        <v>20000</v>
      </c>
      <c r="D17" s="17">
        <v>12500</v>
      </c>
    </row>
    <row r="18" spans="1:4" x14ac:dyDescent="0.2">
      <c r="A18" s="14" t="s">
        <v>85</v>
      </c>
      <c r="B18" s="14" t="s">
        <v>14</v>
      </c>
      <c r="C18" s="16">
        <v>15000</v>
      </c>
      <c r="D18" s="17">
        <v>9800</v>
      </c>
    </row>
    <row r="20" spans="1:4" x14ac:dyDescent="0.2">
      <c r="A20" s="42" t="s">
        <v>115</v>
      </c>
      <c r="B20" s="35"/>
      <c r="C20" s="35"/>
      <c r="D20" s="35"/>
    </row>
    <row r="22" spans="1:4" x14ac:dyDescent="0.2">
      <c r="A22" s="29" t="s">
        <v>116</v>
      </c>
    </row>
    <row r="23" spans="1:4" ht="18" customHeight="1" x14ac:dyDescent="0.2">
      <c r="A23" s="8" t="s">
        <v>117</v>
      </c>
      <c r="B23" s="8" t="s">
        <v>118</v>
      </c>
      <c r="C23" s="8" t="s">
        <v>7</v>
      </c>
    </row>
    <row r="24" spans="1:4" x14ac:dyDescent="0.2">
      <c r="A24" s="30" t="s">
        <v>119</v>
      </c>
      <c r="B24" s="30" t="s">
        <v>120</v>
      </c>
      <c r="C24" s="30" t="s">
        <v>121</v>
      </c>
    </row>
    <row r="25" spans="1:4" x14ac:dyDescent="0.2">
      <c r="A25" s="30" t="s">
        <v>122</v>
      </c>
      <c r="B25" s="30" t="s">
        <v>123</v>
      </c>
      <c r="C25" s="30" t="s">
        <v>124</v>
      </c>
    </row>
    <row r="27" spans="1:4" x14ac:dyDescent="0.2">
      <c r="A27" s="29" t="s">
        <v>125</v>
      </c>
    </row>
    <row r="28" spans="1:4" x14ac:dyDescent="0.2">
      <c r="A28" t="s">
        <v>126</v>
      </c>
    </row>
    <row r="29" spans="1:4" x14ac:dyDescent="0.2">
      <c r="A29" t="s">
        <v>127</v>
      </c>
    </row>
    <row r="30" spans="1:4" x14ac:dyDescent="0.2">
      <c r="A30" t="s">
        <v>128</v>
      </c>
    </row>
    <row r="31" spans="1:4" x14ac:dyDescent="0.2">
      <c r="A31" s="33" t="s">
        <v>129</v>
      </c>
    </row>
  </sheetData>
  <mergeCells count="10">
    <mergeCell ref="A1:E1"/>
    <mergeCell ref="A3:C3"/>
    <mergeCell ref="B8:C8"/>
    <mergeCell ref="B4:C4"/>
    <mergeCell ref="A10:C10"/>
    <mergeCell ref="B6:C6"/>
    <mergeCell ref="B7:C7"/>
    <mergeCell ref="B5:C5"/>
    <mergeCell ref="A20:D20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zoomScaleNormal="100" workbookViewId="0">
      <pane ySplit="4" topLeftCell="A5" activePane="bottomLeft" state="frozen"/>
      <selection activeCell="C1" sqref="C1"/>
      <selection pane="bottomLeft"/>
    </sheetView>
  </sheetViews>
  <sheetFormatPr defaultColWidth="8.7421875" defaultRowHeight="15" x14ac:dyDescent="0.2"/>
  <cols>
    <col min="1" max="1" width="13.98828125" customWidth="1"/>
    <col min="2" max="3" width="11.97265625" customWidth="1"/>
    <col min="4" max="5" width="14.9296875" customWidth="1"/>
    <col min="6" max="6" width="16.0078125" customWidth="1"/>
    <col min="7" max="7" width="13.98828125" customWidth="1"/>
    <col min="8" max="8" width="11.97265625" customWidth="1"/>
  </cols>
  <sheetData>
    <row r="1" spans="1:8" ht="22.15" customHeight="1" x14ac:dyDescent="0.2">
      <c r="A1" s="34" t="s">
        <v>130</v>
      </c>
      <c r="B1" s="35"/>
      <c r="C1" s="35"/>
      <c r="D1" s="35"/>
      <c r="E1" s="35"/>
      <c r="F1" s="35"/>
      <c r="G1" s="35"/>
      <c r="H1" s="35"/>
    </row>
    <row r="2" spans="1:8" x14ac:dyDescent="0.2">
      <c r="A2" s="43" t="s">
        <v>131</v>
      </c>
      <c r="B2" s="35"/>
      <c r="C2" s="35"/>
      <c r="D2" s="35"/>
      <c r="E2" s="35"/>
      <c r="F2" s="35"/>
      <c r="G2" s="35"/>
      <c r="H2" s="35"/>
    </row>
    <row r="4" spans="1:8" ht="33" customHeight="1" x14ac:dyDescent="0.2">
      <c r="A4" s="8" t="s">
        <v>2</v>
      </c>
      <c r="B4" s="8" t="s">
        <v>132</v>
      </c>
      <c r="C4" s="8" t="s">
        <v>5</v>
      </c>
      <c r="D4" s="8" t="s">
        <v>133</v>
      </c>
      <c r="E4" s="8" t="s">
        <v>134</v>
      </c>
      <c r="F4" s="8" t="s">
        <v>135</v>
      </c>
      <c r="G4" s="8" t="s">
        <v>136</v>
      </c>
      <c r="H4" s="8" t="s">
        <v>137</v>
      </c>
    </row>
    <row r="5" spans="1:8" x14ac:dyDescent="0.2">
      <c r="A5" s="4">
        <v>46238</v>
      </c>
      <c r="B5" s="30" t="s">
        <v>138</v>
      </c>
      <c r="C5" s="30" t="s">
        <v>10</v>
      </c>
      <c r="D5" s="17">
        <v>125176</v>
      </c>
      <c r="E5" s="17">
        <v>126018.18</v>
      </c>
      <c r="F5" s="18">
        <f>E5-D5</f>
        <v>842.17999999999302</v>
      </c>
      <c r="G5" s="30" t="s">
        <v>139</v>
      </c>
      <c r="H5" s="30" t="s">
        <v>140</v>
      </c>
    </row>
    <row r="6" spans="1:8" x14ac:dyDescent="0.2">
      <c r="A6" s="4">
        <v>46238</v>
      </c>
      <c r="B6" s="30" t="s">
        <v>138</v>
      </c>
      <c r="C6" s="30" t="s">
        <v>14</v>
      </c>
      <c r="D6" s="17">
        <v>89083</v>
      </c>
      <c r="E6" s="17">
        <v>89720.51</v>
      </c>
      <c r="F6" s="18">
        <f>E6-D6</f>
        <v>637.50999999999476</v>
      </c>
      <c r="G6" s="30" t="s">
        <v>139</v>
      </c>
      <c r="H6" s="30" t="s">
        <v>140</v>
      </c>
    </row>
    <row r="7" spans="1:8" x14ac:dyDescent="0.2">
      <c r="A7" s="4">
        <v>46239</v>
      </c>
      <c r="B7" s="30" t="s">
        <v>138</v>
      </c>
      <c r="C7" s="30" t="s">
        <v>10</v>
      </c>
      <c r="D7" s="17">
        <v>125294</v>
      </c>
      <c r="E7" s="17">
        <v>126728.96000000001</v>
      </c>
      <c r="F7" s="18">
        <f>E7-D7</f>
        <v>1434.9600000000064</v>
      </c>
      <c r="G7" s="30" t="s">
        <v>139</v>
      </c>
      <c r="H7" s="30" t="s">
        <v>140</v>
      </c>
    </row>
    <row r="8" spans="1:8" x14ac:dyDescent="0.2">
      <c r="A8" s="4">
        <v>46239</v>
      </c>
      <c r="B8" s="30" t="s">
        <v>138</v>
      </c>
      <c r="C8" s="30" t="s">
        <v>14</v>
      </c>
      <c r="D8" s="17">
        <v>89166</v>
      </c>
      <c r="E8" s="17">
        <v>90186.19</v>
      </c>
      <c r="F8" s="18">
        <f>E8-D8</f>
        <v>1020.1900000000023</v>
      </c>
      <c r="G8" s="30" t="s">
        <v>139</v>
      </c>
      <c r="H8" s="30" t="s">
        <v>140</v>
      </c>
    </row>
    <row r="9" spans="1:8" x14ac:dyDescent="0.2">
      <c r="A9" s="4">
        <v>46240</v>
      </c>
      <c r="B9" s="30" t="s">
        <v>138</v>
      </c>
      <c r="C9" s="30" t="s">
        <v>10</v>
      </c>
      <c r="D9" s="17">
        <v>125105</v>
      </c>
      <c r="E9" s="17">
        <v>126506.54</v>
      </c>
      <c r="F9" s="18">
        <f>E9-D9</f>
        <v>1401.5399999999936</v>
      </c>
      <c r="G9" s="30" t="s">
        <v>139</v>
      </c>
      <c r="H9" s="30" t="s">
        <v>140</v>
      </c>
    </row>
    <row r="10" spans="1:8" x14ac:dyDescent="0.2">
      <c r="A10" s="4">
        <v>46240</v>
      </c>
      <c r="B10" s="30" t="s">
        <v>138</v>
      </c>
      <c r="C10" s="30" t="s">
        <v>14</v>
      </c>
      <c r="D10" s="17">
        <v>89170</v>
      </c>
      <c r="E10" s="17">
        <v>90093.27</v>
      </c>
      <c r="F10" s="18">
        <f>E10-D10</f>
        <v>923.27000000000407</v>
      </c>
      <c r="G10" s="30" t="s">
        <v>139</v>
      </c>
      <c r="H10" s="30" t="s">
        <v>140</v>
      </c>
    </row>
    <row r="11" spans="1:8" x14ac:dyDescent="0.2">
      <c r="A11" s="4">
        <v>46241</v>
      </c>
      <c r="B11" s="30" t="s">
        <v>138</v>
      </c>
      <c r="C11" s="30" t="s">
        <v>10</v>
      </c>
      <c r="D11" s="17">
        <v>125302</v>
      </c>
      <c r="E11" s="17">
        <v>126490.05</v>
      </c>
      <c r="F11" s="18">
        <f>E11-D11</f>
        <v>1188.0500000000029</v>
      </c>
      <c r="G11" s="30" t="s">
        <v>139</v>
      </c>
      <c r="H11" s="30" t="s">
        <v>140</v>
      </c>
    </row>
    <row r="12" spans="1:8" x14ac:dyDescent="0.2">
      <c r="A12" s="4">
        <v>46241</v>
      </c>
      <c r="B12" s="30" t="s">
        <v>138</v>
      </c>
      <c r="C12" s="30" t="s">
        <v>14</v>
      </c>
      <c r="D12" s="17">
        <v>89110</v>
      </c>
      <c r="E12" s="17">
        <v>90090.32</v>
      </c>
      <c r="F12" s="18">
        <f>E12-D12</f>
        <v>980.32000000000698</v>
      </c>
      <c r="G12" s="30" t="s">
        <v>139</v>
      </c>
      <c r="H12" s="30" t="s">
        <v>140</v>
      </c>
    </row>
    <row r="13" spans="1:8" x14ac:dyDescent="0.2">
      <c r="A13" s="4">
        <v>46242</v>
      </c>
      <c r="B13" s="30" t="s">
        <v>138</v>
      </c>
      <c r="C13" s="30" t="s">
        <v>10</v>
      </c>
      <c r="D13" s="17">
        <v>125002</v>
      </c>
      <c r="E13" s="17">
        <v>126536.96000000001</v>
      </c>
      <c r="F13" s="18">
        <f>E13-D13</f>
        <v>1534.9600000000064</v>
      </c>
      <c r="G13" s="30" t="s">
        <v>139</v>
      </c>
      <c r="H13" s="30" t="s">
        <v>140</v>
      </c>
    </row>
    <row r="14" spans="1:8" x14ac:dyDescent="0.2">
      <c r="A14" s="4">
        <v>46242</v>
      </c>
      <c r="B14" s="30" t="s">
        <v>138</v>
      </c>
      <c r="C14" s="30" t="s">
        <v>14</v>
      </c>
      <c r="D14" s="17">
        <v>89295</v>
      </c>
      <c r="E14" s="17">
        <v>90646.03</v>
      </c>
      <c r="F14" s="18">
        <f>E14-D14</f>
        <v>1351.0299999999988</v>
      </c>
      <c r="G14" s="30" t="s">
        <v>139</v>
      </c>
      <c r="H14" s="30" t="s">
        <v>140</v>
      </c>
    </row>
    <row r="15" spans="1:8" x14ac:dyDescent="0.2">
      <c r="A15" s="19"/>
      <c r="B15" s="19"/>
      <c r="C15" s="19"/>
      <c r="D15" s="19"/>
      <c r="E15" s="19"/>
      <c r="F15" s="20" t="str">
        <f>IF(OR(D15="",E15=""),"",E15-D15)</f>
        <v/>
      </c>
      <c r="G15" s="19"/>
      <c r="H15" s="19"/>
    </row>
    <row r="16" spans="1:8" x14ac:dyDescent="0.2">
      <c r="A16" s="19"/>
      <c r="B16" s="19"/>
      <c r="C16" s="19"/>
      <c r="D16" s="19"/>
      <c r="E16" s="19"/>
      <c r="F16" s="20" t="str">
        <f>IF(OR(D16="",E16=""),"",E16-D16)</f>
        <v/>
      </c>
      <c r="G16" s="19"/>
      <c r="H16" s="19"/>
    </row>
    <row r="17" spans="1:8" x14ac:dyDescent="0.2">
      <c r="A17" s="19"/>
      <c r="B17" s="19"/>
      <c r="C17" s="19"/>
      <c r="D17" s="19"/>
      <c r="E17" s="19"/>
      <c r="F17" s="20" t="str">
        <f>IF(OR(D17="",E17=""),"",E17-D17)</f>
        <v/>
      </c>
      <c r="G17" s="19"/>
      <c r="H17" s="19"/>
    </row>
    <row r="18" spans="1:8" x14ac:dyDescent="0.2">
      <c r="A18" s="19"/>
      <c r="B18" s="19"/>
      <c r="C18" s="19"/>
      <c r="D18" s="19"/>
      <c r="E18" s="19"/>
      <c r="F18" s="20" t="str">
        <f>IF(OR(D18="",E18=""),"",E18-D18)</f>
        <v/>
      </c>
      <c r="G18" s="19"/>
      <c r="H18" s="19"/>
    </row>
    <row r="19" spans="1:8" x14ac:dyDescent="0.2">
      <c r="A19" s="19"/>
      <c r="B19" s="19"/>
      <c r="C19" s="19"/>
      <c r="D19" s="19"/>
      <c r="E19" s="19"/>
      <c r="F19" s="20" t="str">
        <f>IF(OR(D19="",E19=""),"",E19-D19)</f>
        <v/>
      </c>
      <c r="G19" s="19"/>
      <c r="H19" s="19"/>
    </row>
    <row r="20" spans="1:8" x14ac:dyDescent="0.2">
      <c r="A20" s="19"/>
      <c r="B20" s="19"/>
      <c r="C20" s="19"/>
      <c r="D20" s="19"/>
      <c r="E20" s="19"/>
      <c r="F20" s="20" t="str">
        <f>IF(OR(D20="",E20=""),"",E20-D20)</f>
        <v/>
      </c>
      <c r="G20" s="19"/>
      <c r="H20" s="19"/>
    </row>
    <row r="21" spans="1:8" x14ac:dyDescent="0.2">
      <c r="A21" s="19"/>
      <c r="B21" s="19"/>
      <c r="C21" s="19"/>
      <c r="D21" s="19"/>
      <c r="E21" s="19"/>
      <c r="F21" s="20" t="str">
        <f>IF(OR(D21="",E21=""),"",E21-D21)</f>
        <v/>
      </c>
      <c r="G21" s="19"/>
      <c r="H21" s="19"/>
    </row>
    <row r="22" spans="1:8" x14ac:dyDescent="0.2">
      <c r="A22" s="19"/>
      <c r="B22" s="19"/>
      <c r="C22" s="19"/>
      <c r="D22" s="19"/>
      <c r="E22" s="19"/>
      <c r="F22" s="20" t="str">
        <f>IF(OR(D22="",E22=""),"",E22-D22)</f>
        <v/>
      </c>
      <c r="G22" s="19"/>
      <c r="H22" s="19"/>
    </row>
    <row r="23" spans="1:8" x14ac:dyDescent="0.2">
      <c r="A23" s="19"/>
      <c r="B23" s="19"/>
      <c r="C23" s="19"/>
      <c r="D23" s="19"/>
      <c r="E23" s="19"/>
      <c r="F23" s="20" t="str">
        <f>IF(OR(D23="",E23=""),"",E23-D23)</f>
        <v/>
      </c>
      <c r="G23" s="19"/>
      <c r="H23" s="19"/>
    </row>
    <row r="24" spans="1:8" x14ac:dyDescent="0.2">
      <c r="A24" s="19"/>
      <c r="B24" s="19"/>
      <c r="C24" s="19"/>
      <c r="D24" s="19"/>
      <c r="E24" s="19"/>
      <c r="F24" s="20" t="str">
        <f>IF(OR(D24="",E24=""),"",E24-D24)</f>
        <v/>
      </c>
      <c r="G24" s="19"/>
      <c r="H24" s="19"/>
    </row>
  </sheetData>
  <mergeCells count="2">
    <mergeCell ref="A2:H2"/>
    <mergeCell ref="A1:H1"/>
  </mergeCells>
  <dataValidations count="2">
    <dataValidation type="list" allowBlank="1" sqref="B5:B100" xr:uid="{00000000-0002-0000-0300-000000000000}">
      <formula1>"Pump 1,Pump 2"</formula1>
      <formula2>0</formula2>
    </dataValidation>
    <dataValidation type="list" allowBlank="1" sqref="C5:C100" xr:uid="{00000000-0002-0000-0300-000001000000}">
      <formula1>"Petrol,Diesel"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tabSelected="1" zoomScaleNormal="100" workbookViewId="0">
      <pane ySplit="4" topLeftCell="A5" activePane="bottomLeft" state="frozen"/>
      <selection pane="bottomLeft" activeCell="H31" sqref="H31"/>
    </sheetView>
  </sheetViews>
  <sheetFormatPr defaultColWidth="8.7421875" defaultRowHeight="15" x14ac:dyDescent="0.2"/>
  <cols>
    <col min="1" max="1" width="13.046875" customWidth="1"/>
    <col min="2" max="2" width="7.93359375" customWidth="1"/>
    <col min="3" max="5" width="9.953125" customWidth="1"/>
    <col min="6" max="6" width="13.046875" customWidth="1"/>
    <col min="7" max="7" width="13.98828125" customWidth="1"/>
    <col min="8" max="8" width="18.0234375" customWidth="1"/>
    <col min="9" max="9" width="16.0078125" customWidth="1"/>
  </cols>
  <sheetData>
    <row r="1" spans="1:9" ht="22.15" customHeight="1" x14ac:dyDescent="0.2">
      <c r="A1" s="34"/>
      <c r="B1" s="35"/>
      <c r="C1" s="35"/>
      <c r="D1" s="35"/>
      <c r="E1" s="35"/>
      <c r="F1" s="35"/>
      <c r="G1" s="35"/>
      <c r="H1" s="35"/>
      <c r="I1" s="35"/>
    </row>
    <row r="2" spans="1:9" x14ac:dyDescent="0.2">
      <c r="A2" s="43"/>
      <c r="B2" s="35"/>
      <c r="C2" s="35"/>
      <c r="D2" s="35"/>
      <c r="E2" s="35"/>
      <c r="F2" s="35"/>
      <c r="G2" s="35"/>
      <c r="H2" s="35"/>
      <c r="I2" s="35"/>
    </row>
    <row r="4" spans="1:9" ht="33" customHeight="1" x14ac:dyDescent="0.2">
      <c r="A4" s="8"/>
      <c r="B4" s="8"/>
      <c r="C4" s="8"/>
      <c r="D4" s="8"/>
      <c r="E4" s="8"/>
      <c r="F4" s="8"/>
      <c r="G4" s="8"/>
      <c r="H4" s="8"/>
      <c r="I4" s="8"/>
    </row>
    <row r="5" spans="1:9" x14ac:dyDescent="0.2">
      <c r="A5" s="4"/>
      <c r="B5" s="30"/>
      <c r="C5" s="30"/>
      <c r="D5" s="30"/>
      <c r="E5" s="15"/>
      <c r="F5" s="30"/>
      <c r="G5" s="6"/>
      <c r="H5" s="30"/>
      <c r="I5" s="30"/>
    </row>
    <row r="6" spans="1:9" x14ac:dyDescent="0.2">
      <c r="A6" s="4"/>
      <c r="B6" s="30"/>
      <c r="C6" s="30"/>
      <c r="D6" s="30"/>
      <c r="E6" s="15"/>
      <c r="F6" s="30"/>
      <c r="G6" s="6"/>
      <c r="H6" s="30"/>
      <c r="I6" s="30"/>
    </row>
    <row r="7" spans="1:9" x14ac:dyDescent="0.2">
      <c r="A7" s="4"/>
      <c r="B7" s="30"/>
      <c r="C7" s="30"/>
      <c r="D7" s="30"/>
      <c r="E7" s="15"/>
      <c r="F7" s="30"/>
      <c r="G7" s="6"/>
      <c r="H7" s="30"/>
      <c r="I7" s="30"/>
    </row>
    <row r="8" spans="1:9" x14ac:dyDescent="0.2">
      <c r="A8" s="4"/>
      <c r="B8" s="30"/>
      <c r="C8" s="30"/>
      <c r="D8" s="30"/>
      <c r="E8" s="15"/>
      <c r="F8" s="30"/>
      <c r="G8" s="6"/>
      <c r="H8" s="30"/>
      <c r="I8" s="30"/>
    </row>
    <row r="9" spans="1:9" x14ac:dyDescent="0.2">
      <c r="A9" s="4"/>
      <c r="B9" s="30"/>
      <c r="C9" s="30"/>
      <c r="D9" s="30"/>
      <c r="E9" s="15"/>
      <c r="F9" s="30"/>
      <c r="G9" s="6"/>
      <c r="H9" s="30"/>
      <c r="I9" s="30"/>
    </row>
    <row r="10" spans="1:9" x14ac:dyDescent="0.2">
      <c r="A10" s="4"/>
      <c r="B10" s="30"/>
      <c r="C10" s="30"/>
      <c r="D10" s="30"/>
      <c r="E10" s="15"/>
      <c r="F10" s="30"/>
      <c r="G10" s="6"/>
      <c r="H10" s="30"/>
      <c r="I10" s="30"/>
    </row>
    <row r="11" spans="1:9" x14ac:dyDescent="0.2">
      <c r="A11" s="4"/>
      <c r="B11" s="30"/>
      <c r="C11" s="30"/>
      <c r="D11" s="30"/>
      <c r="E11" s="15"/>
      <c r="F11" s="30"/>
      <c r="G11" s="6"/>
      <c r="H11" s="30"/>
      <c r="I11" s="30"/>
    </row>
    <row r="12" spans="1:9" x14ac:dyDescent="0.2">
      <c r="A12" s="4"/>
      <c r="B12" s="30"/>
      <c r="C12" s="30"/>
      <c r="D12" s="30"/>
      <c r="E12" s="15"/>
      <c r="F12" s="30"/>
      <c r="G12" s="6"/>
      <c r="H12" s="30"/>
      <c r="I12" s="30"/>
    </row>
    <row r="13" spans="1:9" x14ac:dyDescent="0.2">
      <c r="A13" s="4"/>
      <c r="B13" s="30"/>
      <c r="C13" s="30"/>
      <c r="D13" s="30"/>
      <c r="E13" s="15"/>
      <c r="F13" s="30"/>
      <c r="G13" s="6"/>
      <c r="H13" s="30"/>
      <c r="I13" s="30"/>
    </row>
    <row r="14" spans="1:9" x14ac:dyDescent="0.2">
      <c r="A14" s="4"/>
      <c r="B14" s="30"/>
      <c r="C14" s="30"/>
      <c r="D14" s="30"/>
      <c r="E14" s="15"/>
      <c r="F14" s="30"/>
      <c r="G14" s="6"/>
      <c r="H14" s="30"/>
      <c r="I14" s="30"/>
    </row>
    <row r="15" spans="1:9" x14ac:dyDescent="0.2">
      <c r="A15" s="4"/>
      <c r="B15" s="30"/>
      <c r="C15" s="30"/>
      <c r="D15" s="30"/>
      <c r="E15" s="15"/>
      <c r="F15" s="30"/>
      <c r="G15" s="6"/>
      <c r="H15" s="30"/>
      <c r="I15" s="30"/>
    </row>
    <row r="16" spans="1:9" x14ac:dyDescent="0.2">
      <c r="A16" s="4"/>
      <c r="B16" s="30"/>
      <c r="C16" s="30"/>
      <c r="D16" s="30"/>
      <c r="E16" s="15"/>
      <c r="F16" s="30"/>
      <c r="G16" s="6"/>
      <c r="H16" s="30"/>
      <c r="I16" s="30"/>
    </row>
    <row r="17" spans="1:9" x14ac:dyDescent="0.2">
      <c r="A17" s="4"/>
      <c r="B17" s="30"/>
      <c r="C17" s="30"/>
      <c r="D17" s="30"/>
      <c r="E17" s="15"/>
      <c r="F17" s="30"/>
      <c r="G17" s="6"/>
      <c r="H17" s="30"/>
      <c r="I17" s="30"/>
    </row>
    <row r="18" spans="1:9" x14ac:dyDescent="0.2">
      <c r="A18" s="4"/>
      <c r="B18" s="30"/>
      <c r="C18" s="30"/>
      <c r="D18" s="30"/>
      <c r="E18" s="15"/>
      <c r="F18" s="30"/>
      <c r="G18" s="6"/>
      <c r="H18" s="30"/>
      <c r="I18" s="30"/>
    </row>
    <row r="19" spans="1:9" x14ac:dyDescent="0.2">
      <c r="A19" s="4"/>
      <c r="B19" s="30"/>
      <c r="C19" s="30"/>
      <c r="D19" s="30"/>
      <c r="E19" s="15"/>
      <c r="F19" s="30"/>
      <c r="G19" s="6"/>
      <c r="H19" s="30"/>
      <c r="I19" s="30"/>
    </row>
    <row r="20" spans="1:9" x14ac:dyDescent="0.2">
      <c r="A20" s="19"/>
      <c r="B20" s="19"/>
      <c r="C20" s="19"/>
      <c r="D20" s="19"/>
      <c r="E20" s="19"/>
      <c r="F20" s="19"/>
      <c r="G20" s="21"/>
      <c r="H20" s="19"/>
      <c r="I20" s="19"/>
    </row>
    <row r="21" spans="1:9" x14ac:dyDescent="0.2">
      <c r="A21" s="19"/>
      <c r="B21" s="19"/>
      <c r="C21" s="19"/>
      <c r="D21" s="19"/>
      <c r="E21" s="19"/>
      <c r="F21" s="19"/>
      <c r="G21" s="21"/>
      <c r="H21" s="19"/>
      <c r="I21" s="19"/>
    </row>
    <row r="22" spans="1:9" x14ac:dyDescent="0.2">
      <c r="A22" s="19"/>
      <c r="B22" s="19"/>
      <c r="C22" s="19"/>
      <c r="D22" s="19"/>
      <c r="E22" s="19"/>
      <c r="F22" s="19"/>
      <c r="G22" s="21"/>
      <c r="H22" s="19"/>
      <c r="I22" s="19"/>
    </row>
    <row r="23" spans="1:9" x14ac:dyDescent="0.2">
      <c r="A23" s="19"/>
      <c r="B23" s="19"/>
      <c r="C23" s="19"/>
      <c r="D23" s="19"/>
      <c r="E23" s="19"/>
      <c r="F23" s="19"/>
      <c r="G23" s="21"/>
      <c r="H23" s="19"/>
      <c r="I23" s="19"/>
    </row>
    <row r="24" spans="1:9" x14ac:dyDescent="0.2">
      <c r="A24" s="19"/>
      <c r="B24" s="19"/>
      <c r="C24" s="19"/>
      <c r="D24" s="19"/>
      <c r="E24" s="19"/>
      <c r="F24" s="19"/>
      <c r="G24" s="21"/>
      <c r="H24" s="19"/>
      <c r="I24" s="19"/>
    </row>
    <row r="25" spans="1:9" x14ac:dyDescent="0.2">
      <c r="A25" s="19"/>
      <c r="B25" s="19"/>
      <c r="C25" s="19"/>
      <c r="D25" s="19"/>
      <c r="E25" s="19"/>
      <c r="F25" s="19"/>
      <c r="G25" s="21"/>
      <c r="H25" s="19"/>
      <c r="I25" s="19"/>
    </row>
    <row r="26" spans="1:9" x14ac:dyDescent="0.2">
      <c r="A26" s="19"/>
      <c r="B26" s="19"/>
      <c r="C26" s="19"/>
      <c r="D26" s="19"/>
      <c r="E26" s="19"/>
      <c r="F26" s="19"/>
      <c r="G26" s="21"/>
      <c r="H26" s="19"/>
      <c r="I26" s="19"/>
    </row>
    <row r="27" spans="1:9" x14ac:dyDescent="0.2">
      <c r="A27" s="19"/>
      <c r="B27" s="19"/>
      <c r="C27" s="19"/>
      <c r="D27" s="19"/>
      <c r="E27" s="19"/>
      <c r="F27" s="19"/>
      <c r="G27" s="21"/>
      <c r="H27" s="19"/>
      <c r="I27" s="19"/>
    </row>
    <row r="28" spans="1:9" x14ac:dyDescent="0.2">
      <c r="A28" s="19"/>
      <c r="B28" s="19"/>
      <c r="C28" s="19"/>
      <c r="D28" s="19"/>
      <c r="E28" s="19"/>
      <c r="F28" s="19"/>
      <c r="G28" s="21"/>
      <c r="H28" s="19"/>
      <c r="I28" s="19"/>
    </row>
    <row r="29" spans="1:9" x14ac:dyDescent="0.2">
      <c r="A29" s="19"/>
      <c r="B29" s="19"/>
      <c r="C29" s="19"/>
      <c r="D29" s="19"/>
      <c r="E29" s="19"/>
      <c r="F29" s="19"/>
      <c r="G29" s="21"/>
      <c r="H29" s="19"/>
      <c r="I29" s="19"/>
    </row>
    <row r="30" spans="1:9" x14ac:dyDescent="0.2">
      <c r="A30" s="19"/>
      <c r="B30" s="19"/>
      <c r="C30" s="19"/>
      <c r="D30" s="19"/>
      <c r="E30" s="19"/>
      <c r="F30" s="19"/>
      <c r="G30" s="21"/>
      <c r="H30" s="19"/>
      <c r="I30" s="19"/>
    </row>
    <row r="31" spans="1:9" x14ac:dyDescent="0.2">
      <c r="A31" s="19"/>
      <c r="B31" s="19"/>
      <c r="C31" s="19"/>
      <c r="D31" s="19"/>
      <c r="E31" s="19"/>
      <c r="F31" s="19"/>
      <c r="G31" s="21"/>
      <c r="H31" s="19"/>
      <c r="I31" s="19"/>
    </row>
    <row r="32" spans="1:9" x14ac:dyDescent="0.2">
      <c r="A32" s="19"/>
      <c r="B32" s="19"/>
      <c r="C32" s="19"/>
      <c r="D32" s="19"/>
      <c r="E32" s="19"/>
      <c r="F32" s="19"/>
      <c r="G32" s="21"/>
      <c r="H32" s="19"/>
      <c r="I32" s="19"/>
    </row>
    <row r="33" spans="1:9" x14ac:dyDescent="0.2">
      <c r="A33" s="19"/>
      <c r="B33" s="19"/>
      <c r="C33" s="19"/>
      <c r="D33" s="19"/>
      <c r="E33" s="19"/>
      <c r="F33" s="19"/>
      <c r="G33" s="21"/>
      <c r="H33" s="19"/>
      <c r="I33" s="19"/>
    </row>
    <row r="34" spans="1:9" x14ac:dyDescent="0.2">
      <c r="A34" s="19"/>
      <c r="B34" s="19"/>
      <c r="C34" s="19"/>
      <c r="D34" s="19"/>
      <c r="E34" s="19"/>
      <c r="F34" s="19"/>
      <c r="G34" s="21"/>
      <c r="H34" s="19"/>
      <c r="I34" s="19"/>
    </row>
    <row r="35" spans="1:9" x14ac:dyDescent="0.2">
      <c r="A35" s="19"/>
      <c r="B35" s="19"/>
      <c r="C35" s="19"/>
      <c r="D35" s="19"/>
      <c r="E35" s="19"/>
      <c r="F35" s="19"/>
      <c r="G35" s="21"/>
      <c r="H35" s="19"/>
      <c r="I35" s="19"/>
    </row>
    <row r="36" spans="1:9" x14ac:dyDescent="0.2">
      <c r="A36" s="19"/>
      <c r="B36" s="19"/>
      <c r="C36" s="19"/>
      <c r="D36" s="19"/>
      <c r="E36" s="19"/>
      <c r="F36" s="19"/>
      <c r="G36" s="21"/>
      <c r="H36" s="19"/>
      <c r="I36" s="19"/>
    </row>
    <row r="37" spans="1:9" x14ac:dyDescent="0.2">
      <c r="A37" s="19"/>
      <c r="B37" s="19"/>
      <c r="C37" s="19"/>
      <c r="D37" s="19"/>
      <c r="E37" s="19"/>
      <c r="F37" s="19"/>
      <c r="G37" s="21"/>
      <c r="H37" s="19"/>
      <c r="I37" s="19"/>
    </row>
    <row r="38" spans="1:9" x14ac:dyDescent="0.2">
      <c r="A38" s="19"/>
      <c r="B38" s="19"/>
      <c r="C38" s="19"/>
      <c r="D38" s="19"/>
      <c r="E38" s="19"/>
      <c r="F38" s="19"/>
      <c r="G38" s="21"/>
      <c r="H38" s="19"/>
      <c r="I38" s="19"/>
    </row>
    <row r="39" spans="1:9" x14ac:dyDescent="0.2">
      <c r="A39" s="19"/>
      <c r="B39" s="19"/>
      <c r="C39" s="19"/>
      <c r="D39" s="19"/>
      <c r="E39" s="19"/>
      <c r="F39" s="19"/>
      <c r="G39" s="21"/>
      <c r="H39" s="19"/>
      <c r="I39" s="19"/>
    </row>
  </sheetData>
  <mergeCells count="2">
    <mergeCell ref="A1:I1"/>
    <mergeCell ref="A2:I2"/>
  </mergeCells>
  <dataValidations count="3">
    <dataValidation type="list" allowBlank="1" sqref="C5:C200" xr:uid="{00000000-0002-0000-0400-000000000000}">
      <formula1>"Pump 1,Pump 2"</formula1>
      <formula2>0</formula2>
    </dataValidation>
    <dataValidation type="list" allowBlank="1" sqref="D5:D200" xr:uid="{00000000-0002-0000-0400-000001000000}">
      <formula1>"Petrol,Diesel"</formula1>
      <formula2>0</formula2>
    </dataValidation>
    <dataValidation type="list" allowBlank="1" sqref="F5:F200" xr:uid="{00000000-0002-0000-0400-000002000000}">
      <formula1>"Cash,UPI,Card,Credit"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topLeftCell="B1" zoomScaleNormal="100" workbookViewId="0">
      <pane ySplit="4" topLeftCell="B5" activePane="bottomLeft" state="frozen"/>
      <selection activeCell="B1" sqref="B1"/>
      <selection pane="bottomLeft" activeCell="F4" sqref="F4:G7"/>
    </sheetView>
  </sheetViews>
  <sheetFormatPr defaultColWidth="8.7421875" defaultRowHeight="15" x14ac:dyDescent="0.2"/>
  <cols>
    <col min="1" max="1" width="13.046875" customWidth="1"/>
    <col min="2" max="2" width="18.0234375" customWidth="1"/>
    <col min="3" max="3" width="13.98828125" customWidth="1"/>
    <col min="4" max="4" width="9.953125" customWidth="1"/>
    <col min="5" max="5" width="20.04296875" customWidth="1"/>
    <col min="6" max="6" width="9.953125" customWidth="1"/>
    <col min="7" max="7" width="13.98828125" customWidth="1"/>
    <col min="8" max="8" width="18.0234375" customWidth="1"/>
  </cols>
  <sheetData>
    <row r="1" spans="1:8" ht="22.15" customHeight="1" x14ac:dyDescent="0.2">
      <c r="A1" s="34" t="s">
        <v>0</v>
      </c>
      <c r="B1" s="35"/>
      <c r="C1" s="35"/>
      <c r="D1" s="35"/>
      <c r="E1" s="35"/>
      <c r="F1" s="35"/>
      <c r="G1" s="35"/>
      <c r="H1" s="35"/>
    </row>
    <row r="2" spans="1:8" x14ac:dyDescent="0.2">
      <c r="A2" s="32" t="s">
        <v>1</v>
      </c>
    </row>
    <row r="4" spans="1:8" ht="33" customHeight="1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/>
      <c r="G4" s="8"/>
      <c r="H4" s="8" t="s">
        <v>7</v>
      </c>
    </row>
    <row r="5" spans="1:8" x14ac:dyDescent="0.2">
      <c r="A5" s="4">
        <v>46240</v>
      </c>
      <c r="B5" s="30" t="s">
        <v>8</v>
      </c>
      <c r="C5" s="30" t="s">
        <v>9</v>
      </c>
      <c r="D5" s="30" t="s">
        <v>10</v>
      </c>
      <c r="E5" s="17">
        <v>8000</v>
      </c>
      <c r="F5" s="22"/>
      <c r="G5" s="30"/>
      <c r="H5" s="30" t="s">
        <v>11</v>
      </c>
    </row>
    <row r="6" spans="1:8" x14ac:dyDescent="0.2">
      <c r="A6" s="4">
        <v>46241</v>
      </c>
      <c r="B6" s="30" t="s">
        <v>12</v>
      </c>
      <c r="C6" s="30" t="s">
        <v>13</v>
      </c>
      <c r="D6" s="30" t="s">
        <v>14</v>
      </c>
      <c r="E6" s="17">
        <v>6000</v>
      </c>
      <c r="F6" s="22"/>
      <c r="G6" s="30"/>
      <c r="H6" s="30"/>
    </row>
    <row r="7" spans="1:8" x14ac:dyDescent="0.2">
      <c r="A7" s="19"/>
      <c r="B7" s="19"/>
      <c r="C7" s="19"/>
      <c r="D7" s="19"/>
      <c r="E7" s="19">
        <v>5000</v>
      </c>
      <c r="F7" s="19"/>
      <c r="G7" s="19"/>
      <c r="H7" s="19"/>
    </row>
    <row r="8" spans="1:8" x14ac:dyDescent="0.2">
      <c r="A8" s="19"/>
      <c r="B8" s="19"/>
      <c r="C8" s="19"/>
      <c r="D8" s="19"/>
      <c r="E8" s="19"/>
      <c r="F8" s="19"/>
      <c r="G8" s="19"/>
      <c r="H8" s="19"/>
    </row>
    <row r="9" spans="1:8" x14ac:dyDescent="0.2">
      <c r="A9" s="19"/>
      <c r="B9" s="19"/>
      <c r="C9" s="19"/>
      <c r="D9" s="19"/>
      <c r="E9" s="19"/>
      <c r="F9" s="19"/>
      <c r="G9" s="19"/>
      <c r="H9" s="19"/>
    </row>
    <row r="10" spans="1:8" x14ac:dyDescent="0.2">
      <c r="A10" s="19"/>
      <c r="B10" s="19"/>
      <c r="C10" s="19"/>
      <c r="D10" s="19"/>
      <c r="E10" s="19"/>
      <c r="F10" s="19"/>
      <c r="G10" s="19"/>
      <c r="H10" s="19"/>
    </row>
    <row r="11" spans="1:8" x14ac:dyDescent="0.2">
      <c r="A11" s="19"/>
      <c r="B11" s="19"/>
      <c r="C11" s="19"/>
      <c r="D11" s="19"/>
      <c r="E11" s="19"/>
      <c r="F11" s="19"/>
      <c r="G11" s="19"/>
      <c r="H11" s="19"/>
    </row>
    <row r="12" spans="1:8" x14ac:dyDescent="0.2">
      <c r="A12" s="19"/>
      <c r="B12" s="19"/>
      <c r="C12" s="19"/>
      <c r="D12" s="19"/>
      <c r="E12" s="19"/>
      <c r="F12" s="19"/>
      <c r="G12" s="19"/>
      <c r="H12" s="19"/>
    </row>
    <row r="13" spans="1:8" x14ac:dyDescent="0.2">
      <c r="A13" s="19"/>
      <c r="B13" s="19"/>
      <c r="C13" s="19"/>
      <c r="D13" s="19"/>
      <c r="E13" s="19"/>
      <c r="F13" s="19"/>
      <c r="G13" s="19"/>
      <c r="H13" s="19"/>
    </row>
    <row r="14" spans="1:8" x14ac:dyDescent="0.2">
      <c r="A14" s="19"/>
      <c r="B14" s="19"/>
      <c r="C14" s="19"/>
      <c r="D14" s="19"/>
      <c r="E14" s="19"/>
      <c r="F14" s="19"/>
      <c r="G14" s="19"/>
      <c r="H14" s="19"/>
    </row>
    <row r="15" spans="1:8" x14ac:dyDescent="0.2">
      <c r="A15" s="19"/>
      <c r="B15" s="19"/>
      <c r="C15" s="19"/>
      <c r="D15" s="19"/>
      <c r="E15" s="19"/>
      <c r="F15" s="19"/>
      <c r="G15" s="19"/>
      <c r="H15" s="19"/>
    </row>
    <row r="16" spans="1:8" x14ac:dyDescent="0.2">
      <c r="A16" s="19"/>
      <c r="B16" s="19"/>
      <c r="C16" s="19"/>
      <c r="D16" s="19"/>
      <c r="E16" s="19"/>
      <c r="F16" s="19"/>
      <c r="G16" s="19"/>
      <c r="H16" s="19"/>
    </row>
    <row r="17" spans="1:8" x14ac:dyDescent="0.2">
      <c r="A17" s="19"/>
      <c r="B17" s="19"/>
      <c r="C17" s="19"/>
      <c r="D17" s="19"/>
      <c r="E17" s="19"/>
      <c r="F17" s="19"/>
      <c r="G17" s="19"/>
      <c r="H17" s="19"/>
    </row>
    <row r="18" spans="1:8" x14ac:dyDescent="0.2">
      <c r="A18" s="19"/>
      <c r="B18" s="19"/>
      <c r="C18" s="19"/>
      <c r="D18" s="19"/>
      <c r="E18" s="19"/>
      <c r="F18" s="19"/>
      <c r="G18" s="19"/>
      <c r="H18" s="19"/>
    </row>
    <row r="19" spans="1:8" x14ac:dyDescent="0.2">
      <c r="A19" s="19"/>
      <c r="B19" s="19"/>
      <c r="C19" s="19"/>
      <c r="D19" s="19"/>
      <c r="E19" s="19"/>
      <c r="F19" s="19"/>
      <c r="G19" s="19"/>
      <c r="H19" s="19"/>
    </row>
    <row r="20" spans="1:8" x14ac:dyDescent="0.2">
      <c r="A20" s="19"/>
      <c r="B20" s="19"/>
      <c r="C20" s="19"/>
      <c r="D20" s="19"/>
      <c r="E20" s="19"/>
      <c r="F20" s="19"/>
      <c r="G20" s="19"/>
      <c r="H20" s="19"/>
    </row>
    <row r="21" spans="1:8" x14ac:dyDescent="0.2">
      <c r="A21" s="19"/>
      <c r="B21" s="19"/>
      <c r="C21" s="19"/>
      <c r="D21" s="19"/>
      <c r="E21" s="19"/>
      <c r="F21" s="19"/>
      <c r="G21" s="19"/>
      <c r="H21" s="19"/>
    </row>
  </sheetData>
  <mergeCells count="1">
    <mergeCell ref="A1:H1"/>
  </mergeCells>
  <dataValidations count="1">
    <dataValidation type="list" allowBlank="1" sqref="D5:D50" xr:uid="{00000000-0002-0000-0500-000000000000}">
      <formula1>"Petrol,Diesel"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topLeftCell="F1" zoomScaleNormal="100" workbookViewId="0">
      <pane ySplit="4" topLeftCell="F5" activePane="bottomLeft" state="frozen"/>
      <selection activeCell="F1" sqref="F1"/>
      <selection pane="bottomLeft"/>
    </sheetView>
  </sheetViews>
  <sheetFormatPr defaultColWidth="8.7421875" defaultRowHeight="15" x14ac:dyDescent="0.2"/>
  <cols>
    <col min="1" max="1" width="13.046875" customWidth="1"/>
    <col min="2" max="3" width="9.953125" customWidth="1"/>
    <col min="4" max="4" width="16.0078125" customWidth="1"/>
    <col min="5" max="5" width="13.046875" customWidth="1"/>
    <col min="6" max="6" width="11.97265625" customWidth="1"/>
    <col min="7" max="7" width="14.9296875" customWidth="1"/>
    <col min="8" max="8" width="13.98828125" customWidth="1"/>
    <col min="9" max="9" width="13.046875" customWidth="1"/>
    <col min="10" max="10" width="16.0078125" customWidth="1"/>
  </cols>
  <sheetData>
    <row r="1" spans="1:10" ht="22.15" customHeight="1" x14ac:dyDescent="0.2">
      <c r="A1" s="34" t="s">
        <v>145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">
      <c r="A2" s="43" t="s">
        <v>146</v>
      </c>
      <c r="B2" s="35"/>
      <c r="C2" s="35"/>
      <c r="D2" s="35"/>
      <c r="E2" s="35"/>
      <c r="F2" s="35"/>
      <c r="G2" s="35"/>
      <c r="H2" s="35"/>
      <c r="I2" s="35"/>
      <c r="J2" s="35"/>
    </row>
    <row r="4" spans="1:10" ht="33" customHeight="1" x14ac:dyDescent="0.2">
      <c r="A4" s="8" t="s">
        <v>2</v>
      </c>
      <c r="B4" s="8" t="s">
        <v>78</v>
      </c>
      <c r="C4" s="8" t="s">
        <v>5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7</v>
      </c>
    </row>
    <row r="5" spans="1:10" x14ac:dyDescent="0.2">
      <c r="A5" s="4">
        <v>46238</v>
      </c>
      <c r="B5" s="30" t="s">
        <v>84</v>
      </c>
      <c r="C5" s="30" t="s">
        <v>10</v>
      </c>
      <c r="D5" s="17">
        <v>12000</v>
      </c>
      <c r="E5" s="17">
        <v>8000</v>
      </c>
      <c r="F5" s="17">
        <v>1355.12</v>
      </c>
      <c r="G5" s="18">
        <f>D5+E5-F5</f>
        <v>18644.88</v>
      </c>
      <c r="H5" s="17"/>
      <c r="I5" s="18" t="str">
        <f>IF(H5="", "", G5-H5)</f>
        <v/>
      </c>
      <c r="J5" s="30"/>
    </row>
    <row r="6" spans="1:10" x14ac:dyDescent="0.2">
      <c r="A6" s="4">
        <v>46238</v>
      </c>
      <c r="B6" s="30" t="s">
        <v>85</v>
      </c>
      <c r="C6" s="30" t="s">
        <v>14</v>
      </c>
      <c r="D6" s="17">
        <v>9500</v>
      </c>
      <c r="E6" s="17">
        <v>0</v>
      </c>
      <c r="F6" s="17">
        <v>746.27</v>
      </c>
      <c r="G6" s="18">
        <f>D6+E6-F6</f>
        <v>8753.73</v>
      </c>
      <c r="H6" s="17"/>
      <c r="I6" s="18" t="str">
        <f>IF(H6="", "", G6-H6)</f>
        <v/>
      </c>
      <c r="J6" s="30"/>
    </row>
    <row r="7" spans="1:10" x14ac:dyDescent="0.2">
      <c r="A7" s="4">
        <v>46239</v>
      </c>
      <c r="B7" s="30" t="s">
        <v>84</v>
      </c>
      <c r="C7" s="30" t="s">
        <v>10</v>
      </c>
      <c r="D7" s="17">
        <v>12100</v>
      </c>
      <c r="E7" s="17">
        <v>0</v>
      </c>
      <c r="F7" s="17">
        <v>1205.49</v>
      </c>
      <c r="G7" s="18">
        <f>D7+E7-F7</f>
        <v>10894.51</v>
      </c>
      <c r="H7" s="17"/>
      <c r="I7" s="18" t="str">
        <f>IF(H7="", "", G7-H7)</f>
        <v/>
      </c>
      <c r="J7" s="30"/>
    </row>
    <row r="8" spans="1:10" x14ac:dyDescent="0.2">
      <c r="A8" s="4">
        <v>46239</v>
      </c>
      <c r="B8" s="30" t="s">
        <v>85</v>
      </c>
      <c r="C8" s="30" t="s">
        <v>14</v>
      </c>
      <c r="D8" s="17">
        <v>9580</v>
      </c>
      <c r="E8" s="17">
        <v>6000</v>
      </c>
      <c r="F8" s="17">
        <v>777.19</v>
      </c>
      <c r="G8" s="18">
        <f>D8+E8-F8</f>
        <v>14802.81</v>
      </c>
      <c r="H8" s="17"/>
      <c r="I8" s="18" t="str">
        <f>IF(H8="", "", G8-H8)</f>
        <v/>
      </c>
      <c r="J8" s="30"/>
    </row>
    <row r="9" spans="1:10" x14ac:dyDescent="0.2">
      <c r="A9" s="4">
        <v>46240</v>
      </c>
      <c r="B9" s="30" t="s">
        <v>84</v>
      </c>
      <c r="C9" s="30" t="s">
        <v>10</v>
      </c>
      <c r="D9" s="17">
        <v>12200</v>
      </c>
      <c r="E9" s="17">
        <v>0</v>
      </c>
      <c r="F9" s="17">
        <v>1424.27</v>
      </c>
      <c r="G9" s="18">
        <f>D9+E9-F9</f>
        <v>10775.73</v>
      </c>
      <c r="H9" s="17"/>
      <c r="I9" s="18" t="str">
        <f>IF(H9="", "", G9-H9)</f>
        <v/>
      </c>
      <c r="J9" s="30"/>
    </row>
    <row r="10" spans="1:10" x14ac:dyDescent="0.2">
      <c r="A10" s="4">
        <v>46240</v>
      </c>
      <c r="B10" s="30" t="s">
        <v>85</v>
      </c>
      <c r="C10" s="30" t="s">
        <v>14</v>
      </c>
      <c r="D10" s="17">
        <v>9660</v>
      </c>
      <c r="E10" s="17">
        <v>0</v>
      </c>
      <c r="F10" s="17">
        <v>799.76</v>
      </c>
      <c r="G10" s="18">
        <f>D10+E10-F10</f>
        <v>8860.24</v>
      </c>
      <c r="H10" s="17"/>
      <c r="I10" s="18" t="str">
        <f>IF(H10="", "", G10-H10)</f>
        <v/>
      </c>
      <c r="J10" s="30"/>
    </row>
    <row r="11" spans="1:10" x14ac:dyDescent="0.2">
      <c r="A11" s="4">
        <v>46241</v>
      </c>
      <c r="B11" s="30" t="s">
        <v>84</v>
      </c>
      <c r="C11" s="30" t="s">
        <v>10</v>
      </c>
      <c r="D11" s="17">
        <v>12300</v>
      </c>
      <c r="E11" s="17">
        <v>0</v>
      </c>
      <c r="F11" s="17">
        <v>973.83</v>
      </c>
      <c r="G11" s="18">
        <f>D11+E11-F11</f>
        <v>11326.17</v>
      </c>
      <c r="H11" s="17"/>
      <c r="I11" s="18" t="str">
        <f>IF(H11="", "", G11-H11)</f>
        <v/>
      </c>
      <c r="J11" s="30"/>
    </row>
    <row r="12" spans="1:10" x14ac:dyDescent="0.2">
      <c r="A12" s="4">
        <v>46241</v>
      </c>
      <c r="B12" s="30" t="s">
        <v>85</v>
      </c>
      <c r="C12" s="30" t="s">
        <v>14</v>
      </c>
      <c r="D12" s="17">
        <v>9740</v>
      </c>
      <c r="E12" s="17">
        <v>0</v>
      </c>
      <c r="F12" s="17">
        <v>739.13</v>
      </c>
      <c r="G12" s="18">
        <f>D12+E12-F12</f>
        <v>9000.8700000000008</v>
      </c>
      <c r="H12" s="17"/>
      <c r="I12" s="18" t="str">
        <f>IF(H12="", "", G12-H12)</f>
        <v/>
      </c>
      <c r="J12" s="30"/>
    </row>
    <row r="13" spans="1:10" x14ac:dyDescent="0.2">
      <c r="A13" s="4">
        <v>46242</v>
      </c>
      <c r="B13" s="30" t="s">
        <v>84</v>
      </c>
      <c r="C13" s="30" t="s">
        <v>10</v>
      </c>
      <c r="D13" s="17">
        <v>12400</v>
      </c>
      <c r="E13" s="17">
        <v>0</v>
      </c>
      <c r="F13" s="17">
        <v>1568.78</v>
      </c>
      <c r="G13" s="18">
        <f>D13+E13-F13</f>
        <v>10831.22</v>
      </c>
      <c r="H13" s="17"/>
      <c r="I13" s="18" t="str">
        <f>IF(H13="", "", G13-H13)</f>
        <v/>
      </c>
      <c r="J13" s="30"/>
    </row>
    <row r="14" spans="1:10" x14ac:dyDescent="0.2">
      <c r="A14" s="4">
        <v>46242</v>
      </c>
      <c r="B14" s="30" t="s">
        <v>85</v>
      </c>
      <c r="C14" s="30" t="s">
        <v>14</v>
      </c>
      <c r="D14" s="17">
        <v>9820</v>
      </c>
      <c r="E14" s="17">
        <v>0</v>
      </c>
      <c r="F14" s="17">
        <v>800.03</v>
      </c>
      <c r="G14" s="18">
        <f>D14+E14-F14</f>
        <v>9019.9699999999993</v>
      </c>
      <c r="H14" s="17"/>
      <c r="I14" s="18" t="str">
        <f>IF(H14="", "", G14-H14)</f>
        <v/>
      </c>
      <c r="J14" s="30"/>
    </row>
    <row r="15" spans="1:10" x14ac:dyDescent="0.2">
      <c r="A15" s="19"/>
      <c r="B15" s="19"/>
      <c r="C15" s="19"/>
      <c r="D15" s="19"/>
      <c r="E15" s="19"/>
      <c r="F15" s="19"/>
      <c r="G15" s="20" t="str">
        <f>IF(D15="","",D15+E15-F15)</f>
        <v/>
      </c>
      <c r="H15" s="19"/>
      <c r="I15" s="20" t="str">
        <f>IF(OR(H15="",G15=""),"",G15-H15)</f>
        <v/>
      </c>
      <c r="J15" s="19"/>
    </row>
    <row r="16" spans="1:10" x14ac:dyDescent="0.2">
      <c r="A16" s="19"/>
      <c r="B16" s="19"/>
      <c r="C16" s="19"/>
      <c r="D16" s="19"/>
      <c r="E16" s="19"/>
      <c r="F16" s="19"/>
      <c r="G16" s="20" t="str">
        <f>IF(D16="","",D16+E16-F16)</f>
        <v/>
      </c>
      <c r="H16" s="19"/>
      <c r="I16" s="20" t="str">
        <f>IF(OR(H16="",G16=""),"",G16-H16)</f>
        <v/>
      </c>
      <c r="J16" s="19"/>
    </row>
    <row r="17" spans="1:10" x14ac:dyDescent="0.2">
      <c r="A17" s="19"/>
      <c r="B17" s="19"/>
      <c r="C17" s="19"/>
      <c r="D17" s="19"/>
      <c r="E17" s="19"/>
      <c r="F17" s="19"/>
      <c r="G17" s="20" t="str">
        <f>IF(D17="","",D17+E17-F17)</f>
        <v/>
      </c>
      <c r="H17" s="19"/>
      <c r="I17" s="20" t="str">
        <f>IF(OR(H17="",G17=""),"",G17-H17)</f>
        <v/>
      </c>
      <c r="J17" s="19"/>
    </row>
    <row r="18" spans="1:10" x14ac:dyDescent="0.2">
      <c r="A18" s="19"/>
      <c r="B18" s="19"/>
      <c r="C18" s="19"/>
      <c r="D18" s="19"/>
      <c r="E18" s="19"/>
      <c r="F18" s="19"/>
      <c r="G18" s="20" t="str">
        <f>IF(D18="","",D18+E18-F18)</f>
        <v/>
      </c>
      <c r="H18" s="19"/>
      <c r="I18" s="20" t="str">
        <f>IF(OR(H18="",G18=""),"",G18-H18)</f>
        <v/>
      </c>
      <c r="J18" s="19"/>
    </row>
    <row r="19" spans="1:10" x14ac:dyDescent="0.2">
      <c r="A19" s="19"/>
      <c r="B19" s="19"/>
      <c r="C19" s="19"/>
      <c r="D19" s="19"/>
      <c r="E19" s="19"/>
      <c r="F19" s="19"/>
      <c r="G19" s="20" t="str">
        <f>IF(D19="","",D19+E19-F19)</f>
        <v/>
      </c>
      <c r="H19" s="19"/>
      <c r="I19" s="20" t="str">
        <f>IF(OR(H19="",G19=""),"",G19-H19)</f>
        <v/>
      </c>
      <c r="J19" s="19"/>
    </row>
    <row r="20" spans="1:10" x14ac:dyDescent="0.2">
      <c r="A20" s="19"/>
      <c r="B20" s="19"/>
      <c r="C20" s="19"/>
      <c r="D20" s="19"/>
      <c r="E20" s="19"/>
      <c r="F20" s="19"/>
      <c r="G20" s="20" t="str">
        <f>IF(D20="","",D20+E20-F20)</f>
        <v/>
      </c>
      <c r="H20" s="19"/>
      <c r="I20" s="20" t="str">
        <f>IF(OR(H20="",G20=""),"",G20-H20)</f>
        <v/>
      </c>
      <c r="J20" s="19"/>
    </row>
    <row r="21" spans="1:10" x14ac:dyDescent="0.2">
      <c r="A21" s="19"/>
      <c r="B21" s="19"/>
      <c r="C21" s="19"/>
      <c r="D21" s="19"/>
      <c r="E21" s="19"/>
      <c r="F21" s="19"/>
      <c r="G21" s="20" t="str">
        <f>IF(D21="","",D21+E21-F21)</f>
        <v/>
      </c>
      <c r="H21" s="19"/>
      <c r="I21" s="20" t="str">
        <f>IF(OR(H21="",G21=""),"",G21-H21)</f>
        <v/>
      </c>
      <c r="J21" s="19"/>
    </row>
    <row r="22" spans="1:10" x14ac:dyDescent="0.2">
      <c r="A22" s="19"/>
      <c r="B22" s="19"/>
      <c r="C22" s="19"/>
      <c r="D22" s="19"/>
      <c r="E22" s="19"/>
      <c r="F22" s="19"/>
      <c r="G22" s="20" t="str">
        <f>IF(D22="","",D22+E22-F22)</f>
        <v/>
      </c>
      <c r="H22" s="19"/>
      <c r="I22" s="20" t="str">
        <f>IF(OR(H22="",G22=""),"",G22-H22)</f>
        <v/>
      </c>
      <c r="J22" s="19"/>
    </row>
    <row r="23" spans="1:10" x14ac:dyDescent="0.2">
      <c r="A23" s="19"/>
      <c r="B23" s="19"/>
      <c r="C23" s="19"/>
      <c r="D23" s="19"/>
      <c r="E23" s="19"/>
      <c r="F23" s="19"/>
      <c r="G23" s="20" t="str">
        <f>IF(D23="","",D23+E23-F23)</f>
        <v/>
      </c>
      <c r="H23" s="19"/>
      <c r="I23" s="20" t="str">
        <f>IF(OR(H23="",G23=""),"",G23-H23)</f>
        <v/>
      </c>
      <c r="J23" s="19"/>
    </row>
    <row r="24" spans="1:10" x14ac:dyDescent="0.2">
      <c r="A24" s="19"/>
      <c r="B24" s="19"/>
      <c r="C24" s="19"/>
      <c r="D24" s="19"/>
      <c r="E24" s="19"/>
      <c r="F24" s="19"/>
      <c r="G24" s="20" t="str">
        <f>IF(D24="","",D24+E24-F24)</f>
        <v/>
      </c>
      <c r="H24" s="19"/>
      <c r="I24" s="20" t="str">
        <f>IF(OR(H24="",G24=""),"",G24-H24)</f>
        <v/>
      </c>
      <c r="J24" s="19"/>
    </row>
  </sheetData>
  <mergeCells count="2">
    <mergeCell ref="A1:J1"/>
    <mergeCell ref="A2:J2"/>
  </mergeCells>
  <dataValidations count="2">
    <dataValidation type="list" allowBlank="1" sqref="B5:B100" xr:uid="{00000000-0002-0000-0600-000000000000}">
      <formula1>"Tank 1,Tank 2"</formula1>
      <formula2>0</formula2>
    </dataValidation>
    <dataValidation type="list" allowBlank="1" sqref="C5:C100" xr:uid="{00000000-0002-0000-0600-000001000000}">
      <formula1>"Petrol,Diesel"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topLeftCell="C1" zoomScaleNormal="100" workbookViewId="0">
      <pane ySplit="4" topLeftCell="C5" activePane="bottomLeft" state="frozen"/>
      <selection activeCell="C1" sqref="C1"/>
      <selection pane="bottomLeft"/>
    </sheetView>
  </sheetViews>
  <sheetFormatPr defaultColWidth="8.7421875" defaultRowHeight="15" x14ac:dyDescent="0.2"/>
  <cols>
    <col min="1" max="1" width="13.046875" customWidth="1"/>
    <col min="2" max="2" width="16.0078125" customWidth="1"/>
    <col min="3" max="3" width="27.98046875" customWidth="1"/>
    <col min="4" max="4" width="13.98828125" customWidth="1"/>
    <col min="5" max="5" width="11.97265625" customWidth="1"/>
    <col min="6" max="6" width="18.0234375" customWidth="1"/>
  </cols>
  <sheetData>
    <row r="1" spans="1:6" ht="22.15" customHeight="1" x14ac:dyDescent="0.2">
      <c r="A1" s="34" t="s">
        <v>153</v>
      </c>
      <c r="B1" s="35"/>
      <c r="C1" s="35"/>
      <c r="D1" s="35"/>
      <c r="E1" s="35"/>
      <c r="F1" s="35"/>
    </row>
    <row r="4" spans="1:6" ht="18" customHeight="1" x14ac:dyDescent="0.2">
      <c r="A4" s="8" t="s">
        <v>2</v>
      </c>
      <c r="B4" s="8" t="s">
        <v>154</v>
      </c>
      <c r="C4" s="8" t="s">
        <v>155</v>
      </c>
      <c r="D4" s="8" t="s">
        <v>141</v>
      </c>
      <c r="E4" s="8" t="s">
        <v>156</v>
      </c>
      <c r="F4" s="8" t="s">
        <v>7</v>
      </c>
    </row>
    <row r="5" spans="1:6" x14ac:dyDescent="0.2">
      <c r="A5" s="4">
        <v>46242</v>
      </c>
      <c r="B5" s="30" t="s">
        <v>157</v>
      </c>
      <c r="C5" s="23" t="s">
        <v>158</v>
      </c>
      <c r="D5" s="24">
        <v>8500</v>
      </c>
      <c r="E5" s="30" t="s">
        <v>142</v>
      </c>
      <c r="F5" s="30"/>
    </row>
    <row r="6" spans="1:6" x14ac:dyDescent="0.2">
      <c r="A6" s="4">
        <v>46241</v>
      </c>
      <c r="B6" s="30" t="s">
        <v>159</v>
      </c>
      <c r="C6" s="23" t="s">
        <v>160</v>
      </c>
      <c r="D6" s="24">
        <v>1200</v>
      </c>
      <c r="E6" s="30" t="s">
        <v>142</v>
      </c>
      <c r="F6" s="30"/>
    </row>
    <row r="7" spans="1:6" x14ac:dyDescent="0.2">
      <c r="A7" s="4">
        <v>46240</v>
      </c>
      <c r="B7" s="30" t="s">
        <v>161</v>
      </c>
      <c r="C7" s="23" t="s">
        <v>162</v>
      </c>
      <c r="D7" s="24">
        <v>750</v>
      </c>
      <c r="E7" s="30" t="s">
        <v>144</v>
      </c>
      <c r="F7" s="30" t="s">
        <v>138</v>
      </c>
    </row>
    <row r="8" spans="1:6" x14ac:dyDescent="0.2">
      <c r="A8" s="4">
        <v>46239</v>
      </c>
      <c r="B8" s="30" t="s">
        <v>163</v>
      </c>
      <c r="C8" s="23" t="s">
        <v>164</v>
      </c>
      <c r="D8" s="24">
        <v>200</v>
      </c>
      <c r="E8" s="30" t="s">
        <v>142</v>
      </c>
      <c r="F8" s="30"/>
    </row>
    <row r="9" spans="1:6" x14ac:dyDescent="0.2">
      <c r="A9" s="19"/>
      <c r="B9" s="19"/>
      <c r="C9" s="19"/>
      <c r="D9" s="19"/>
      <c r="E9" s="19"/>
      <c r="F9" s="19"/>
    </row>
    <row r="10" spans="1:6" x14ac:dyDescent="0.2">
      <c r="A10" s="19"/>
      <c r="B10" s="19"/>
      <c r="C10" s="19"/>
      <c r="D10" s="19"/>
      <c r="E10" s="19"/>
      <c r="F10" s="19"/>
    </row>
    <row r="11" spans="1:6" x14ac:dyDescent="0.2">
      <c r="A11" s="19"/>
      <c r="B11" s="19"/>
      <c r="C11" s="19"/>
      <c r="D11" s="19"/>
      <c r="E11" s="19"/>
      <c r="F11" s="19"/>
    </row>
    <row r="12" spans="1:6" x14ac:dyDescent="0.2">
      <c r="A12" s="19"/>
      <c r="B12" s="19"/>
      <c r="C12" s="19"/>
      <c r="D12" s="19"/>
      <c r="E12" s="19"/>
      <c r="F12" s="19"/>
    </row>
    <row r="13" spans="1:6" x14ac:dyDescent="0.2">
      <c r="A13" s="19"/>
      <c r="B13" s="19"/>
      <c r="C13" s="19"/>
      <c r="D13" s="19"/>
      <c r="E13" s="19"/>
      <c r="F13" s="19"/>
    </row>
    <row r="14" spans="1:6" x14ac:dyDescent="0.2">
      <c r="A14" s="19"/>
      <c r="B14" s="19"/>
      <c r="C14" s="19"/>
      <c r="D14" s="19"/>
      <c r="E14" s="19"/>
      <c r="F14" s="19"/>
    </row>
    <row r="15" spans="1:6" x14ac:dyDescent="0.2">
      <c r="A15" s="19"/>
      <c r="B15" s="19"/>
      <c r="C15" s="19"/>
      <c r="D15" s="19"/>
      <c r="E15" s="19"/>
      <c r="F15" s="19"/>
    </row>
    <row r="16" spans="1:6" x14ac:dyDescent="0.2">
      <c r="A16" s="19"/>
      <c r="B16" s="19"/>
      <c r="C16" s="19"/>
      <c r="D16" s="19"/>
      <c r="E16" s="19"/>
      <c r="F16" s="19"/>
    </row>
    <row r="17" spans="1:6" x14ac:dyDescent="0.2">
      <c r="A17" s="19"/>
      <c r="B17" s="19"/>
      <c r="C17" s="19"/>
      <c r="D17" s="19"/>
      <c r="E17" s="19"/>
      <c r="F17" s="19"/>
    </row>
    <row r="18" spans="1:6" x14ac:dyDescent="0.2">
      <c r="A18" s="19"/>
      <c r="B18" s="19"/>
      <c r="C18" s="19"/>
      <c r="D18" s="19"/>
      <c r="E18" s="19"/>
      <c r="F18" s="19"/>
    </row>
    <row r="19" spans="1:6" x14ac:dyDescent="0.2">
      <c r="A19" s="19"/>
      <c r="B19" s="19"/>
      <c r="C19" s="19"/>
      <c r="D19" s="19"/>
      <c r="E19" s="19"/>
      <c r="F19" s="19"/>
    </row>
    <row r="20" spans="1:6" x14ac:dyDescent="0.2">
      <c r="A20" s="19"/>
      <c r="B20" s="19"/>
      <c r="C20" s="19"/>
      <c r="D20" s="19"/>
      <c r="E20" s="19"/>
      <c r="F20" s="19"/>
    </row>
    <row r="21" spans="1:6" x14ac:dyDescent="0.2">
      <c r="A21" s="19"/>
      <c r="B21" s="19"/>
      <c r="C21" s="19"/>
      <c r="D21" s="19"/>
      <c r="E21" s="19"/>
      <c r="F21" s="19"/>
    </row>
    <row r="22" spans="1:6" x14ac:dyDescent="0.2">
      <c r="A22" s="19"/>
      <c r="B22" s="19"/>
      <c r="C22" s="19"/>
      <c r="D22" s="19"/>
      <c r="E22" s="19"/>
      <c r="F22" s="19"/>
    </row>
    <row r="23" spans="1:6" x14ac:dyDescent="0.2">
      <c r="A23" s="19"/>
      <c r="B23" s="19"/>
      <c r="C23" s="19"/>
      <c r="D23" s="19"/>
      <c r="E23" s="19"/>
      <c r="F23" s="19"/>
    </row>
    <row r="24" spans="1:6" x14ac:dyDescent="0.2">
      <c r="A24" s="19"/>
      <c r="B24" s="19"/>
      <c r="C24" s="19"/>
      <c r="D24" s="19"/>
      <c r="E24" s="19"/>
      <c r="F24" s="19"/>
    </row>
    <row r="25" spans="1:6" x14ac:dyDescent="0.2">
      <c r="A25" s="19"/>
      <c r="B25" s="19"/>
      <c r="C25" s="19"/>
      <c r="D25" s="19"/>
      <c r="E25" s="19"/>
      <c r="F25" s="19"/>
    </row>
    <row r="26" spans="1:6" x14ac:dyDescent="0.2">
      <c r="A26" s="19"/>
      <c r="B26" s="19"/>
      <c r="C26" s="19"/>
      <c r="D26" s="19"/>
      <c r="E26" s="19"/>
      <c r="F26" s="19"/>
    </row>
    <row r="27" spans="1:6" x14ac:dyDescent="0.2">
      <c r="A27" s="19"/>
      <c r="B27" s="19"/>
      <c r="C27" s="19"/>
      <c r="D27" s="19"/>
      <c r="E27" s="19"/>
      <c r="F27" s="19"/>
    </row>
    <row r="28" spans="1:6" x14ac:dyDescent="0.2">
      <c r="A28" s="19"/>
      <c r="B28" s="19"/>
      <c r="C28" s="19"/>
      <c r="D28" s="19"/>
      <c r="E28" s="19"/>
      <c r="F28" s="19"/>
    </row>
  </sheetData>
  <mergeCells count="1">
    <mergeCell ref="A1:F1"/>
  </mergeCells>
  <dataValidations count="1">
    <dataValidation type="list" allowBlank="1" sqref="B5:B100" xr:uid="{00000000-0002-0000-0700-000000000000}">
      <formula1>"Salary,Generator Fuel,Maintenance,Electricity,Stationery,Other"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20.04296875" customWidth="1"/>
    <col min="3" max="3" width="13.98828125" customWidth="1"/>
    <col min="4" max="4" width="16.0078125" customWidth="1"/>
    <col min="5" max="6" width="14.9296875" customWidth="1"/>
  </cols>
  <sheetData>
    <row r="1" spans="1:6" ht="22.15" customHeight="1" x14ac:dyDescent="0.2">
      <c r="A1" s="34" t="s">
        <v>165</v>
      </c>
      <c r="B1" s="35"/>
      <c r="C1" s="35"/>
      <c r="D1" s="35"/>
      <c r="E1" s="35"/>
      <c r="F1" s="35"/>
    </row>
    <row r="4" spans="1:6" ht="33" customHeight="1" x14ac:dyDescent="0.2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</row>
    <row r="5" spans="1:6" x14ac:dyDescent="0.2">
      <c r="A5" s="30" t="s">
        <v>172</v>
      </c>
      <c r="B5" s="30" t="s">
        <v>173</v>
      </c>
      <c r="C5" s="30" t="s">
        <v>174</v>
      </c>
      <c r="D5" s="30" t="s">
        <v>143</v>
      </c>
      <c r="E5" s="24">
        <v>12500</v>
      </c>
      <c r="F5" s="25">
        <v>50000</v>
      </c>
    </row>
    <row r="6" spans="1:6" x14ac:dyDescent="0.2">
      <c r="A6" s="30" t="s">
        <v>175</v>
      </c>
      <c r="B6" s="30" t="s">
        <v>176</v>
      </c>
      <c r="C6" s="30" t="s">
        <v>177</v>
      </c>
      <c r="D6" s="30" t="s">
        <v>178</v>
      </c>
      <c r="E6" s="24">
        <v>8200</v>
      </c>
      <c r="F6" s="25">
        <v>30000</v>
      </c>
    </row>
    <row r="7" spans="1:6" x14ac:dyDescent="0.2">
      <c r="A7" s="30" t="s">
        <v>179</v>
      </c>
      <c r="B7" s="30" t="s">
        <v>180</v>
      </c>
      <c r="C7" s="30" t="s">
        <v>181</v>
      </c>
      <c r="D7" s="30" t="s">
        <v>182</v>
      </c>
      <c r="E7" s="24">
        <v>3450</v>
      </c>
      <c r="F7" s="25">
        <v>15000</v>
      </c>
    </row>
    <row r="8" spans="1:6" x14ac:dyDescent="0.2">
      <c r="A8" s="30" t="s">
        <v>183</v>
      </c>
      <c r="B8" s="30" t="s">
        <v>184</v>
      </c>
      <c r="C8" s="30" t="s">
        <v>185</v>
      </c>
      <c r="D8" s="30" t="s">
        <v>186</v>
      </c>
      <c r="E8" s="24">
        <v>0</v>
      </c>
      <c r="F8" s="25">
        <v>10000</v>
      </c>
    </row>
    <row r="9" spans="1:6" x14ac:dyDescent="0.2">
      <c r="A9" s="19"/>
      <c r="B9" s="19"/>
      <c r="C9" s="19"/>
      <c r="D9" s="19"/>
      <c r="E9" s="19"/>
      <c r="F9" s="19"/>
    </row>
    <row r="10" spans="1:6" x14ac:dyDescent="0.2">
      <c r="A10" s="19"/>
      <c r="B10" s="19"/>
      <c r="C10" s="19"/>
      <c r="D10" s="19"/>
      <c r="E10" s="19"/>
      <c r="F10" s="19"/>
    </row>
    <row r="11" spans="1:6" x14ac:dyDescent="0.2">
      <c r="A11" s="19"/>
      <c r="B11" s="19"/>
      <c r="C11" s="19"/>
      <c r="D11" s="19"/>
      <c r="E11" s="19"/>
      <c r="F11" s="19"/>
    </row>
    <row r="12" spans="1:6" x14ac:dyDescent="0.2">
      <c r="A12" s="19"/>
      <c r="B12" s="19"/>
      <c r="C12" s="19"/>
      <c r="D12" s="19"/>
      <c r="E12" s="19"/>
      <c r="F12" s="19"/>
    </row>
    <row r="13" spans="1:6" x14ac:dyDescent="0.2">
      <c r="A13" s="19"/>
      <c r="B13" s="19"/>
      <c r="C13" s="19"/>
      <c r="D13" s="19"/>
      <c r="E13" s="19"/>
      <c r="F13" s="19"/>
    </row>
    <row r="14" spans="1:6" x14ac:dyDescent="0.2">
      <c r="A14" s="19"/>
      <c r="B14" s="19"/>
      <c r="C14" s="19"/>
      <c r="D14" s="19"/>
      <c r="E14" s="19"/>
      <c r="F14" s="19"/>
    </row>
    <row r="15" spans="1:6" x14ac:dyDescent="0.2">
      <c r="A15" s="19"/>
      <c r="B15" s="19"/>
      <c r="C15" s="19"/>
      <c r="D15" s="19"/>
      <c r="E15" s="19"/>
      <c r="F15" s="19"/>
    </row>
    <row r="16" spans="1:6" x14ac:dyDescent="0.2">
      <c r="A16" s="19"/>
      <c r="B16" s="19"/>
      <c r="C16" s="19"/>
      <c r="D16" s="19"/>
      <c r="E16" s="19"/>
      <c r="F16" s="19"/>
    </row>
    <row r="17" spans="1:6" x14ac:dyDescent="0.2">
      <c r="A17" s="19"/>
      <c r="B17" s="19"/>
      <c r="C17" s="19"/>
      <c r="D17" s="19"/>
      <c r="E17" s="19"/>
      <c r="F17" s="19"/>
    </row>
    <row r="18" spans="1:6" x14ac:dyDescent="0.2">
      <c r="A18" s="19"/>
      <c r="B18" s="19"/>
      <c r="C18" s="19"/>
      <c r="D18" s="19"/>
      <c r="E18" s="19"/>
      <c r="F18" s="19"/>
    </row>
    <row r="19" spans="1:6" x14ac:dyDescent="0.2">
      <c r="A19" s="19"/>
      <c r="B19" s="19"/>
      <c r="C19" s="19"/>
      <c r="D19" s="19"/>
      <c r="E19" s="19"/>
      <c r="F19" s="19"/>
    </row>
    <row r="20" spans="1:6" x14ac:dyDescent="0.2">
      <c r="A20" s="19"/>
      <c r="B20" s="19"/>
      <c r="C20" s="19"/>
      <c r="D20" s="19"/>
      <c r="E20" s="19"/>
      <c r="F20" s="19"/>
    </row>
    <row r="21" spans="1:6" x14ac:dyDescent="0.2">
      <c r="A21" s="19"/>
      <c r="B21" s="19"/>
      <c r="C21" s="19"/>
      <c r="D21" s="19"/>
      <c r="E21" s="19"/>
      <c r="F21" s="19"/>
    </row>
    <row r="22" spans="1:6" x14ac:dyDescent="0.2">
      <c r="A22" s="19"/>
      <c r="B22" s="19"/>
      <c r="C22" s="19"/>
      <c r="D22" s="19"/>
      <c r="E22" s="19"/>
      <c r="F22" s="19"/>
    </row>
    <row r="23" spans="1:6" x14ac:dyDescent="0.2">
      <c r="A23" s="19"/>
      <c r="B23" s="19"/>
      <c r="C23" s="19"/>
      <c r="D23" s="19"/>
      <c r="E23" s="19"/>
      <c r="F23" s="19"/>
    </row>
    <row r="25" spans="1:6" x14ac:dyDescent="0.2">
      <c r="A25" s="31" t="s">
        <v>187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3.046875" customWidth="1"/>
    <col min="2" max="2" width="11.97265625" customWidth="1"/>
    <col min="3" max="3" width="18.0234375" customWidth="1"/>
    <col min="4" max="4" width="16.0078125" customWidth="1"/>
    <col min="5" max="5" width="11.97265625" customWidth="1"/>
    <col min="6" max="6" width="13.98828125" customWidth="1"/>
    <col min="7" max="7" width="18.0234375" customWidth="1"/>
  </cols>
  <sheetData>
    <row r="1" spans="1:7" ht="22.15" customHeight="1" x14ac:dyDescent="0.2">
      <c r="A1" s="34" t="s">
        <v>188</v>
      </c>
      <c r="B1" s="35"/>
      <c r="C1" s="35"/>
      <c r="D1" s="35"/>
      <c r="E1" s="35"/>
      <c r="F1" s="35"/>
      <c r="G1" s="35"/>
    </row>
    <row r="4" spans="1:7" ht="33" customHeight="1" x14ac:dyDescent="0.2">
      <c r="A4" s="8" t="s">
        <v>2</v>
      </c>
      <c r="B4" s="8" t="s">
        <v>166</v>
      </c>
      <c r="C4" s="8" t="s">
        <v>167</v>
      </c>
      <c r="D4" s="8" t="s">
        <v>189</v>
      </c>
      <c r="E4" s="8" t="s">
        <v>141</v>
      </c>
      <c r="F4" s="8" t="s">
        <v>190</v>
      </c>
      <c r="G4" s="8" t="s">
        <v>7</v>
      </c>
    </row>
    <row r="5" spans="1:7" x14ac:dyDescent="0.2">
      <c r="A5" s="4">
        <v>46242</v>
      </c>
      <c r="B5" s="30" t="s">
        <v>172</v>
      </c>
      <c r="C5" s="30" t="s">
        <v>173</v>
      </c>
      <c r="D5" s="30" t="s">
        <v>191</v>
      </c>
      <c r="E5" s="24">
        <v>4500</v>
      </c>
      <c r="F5" s="30" t="s">
        <v>192</v>
      </c>
      <c r="G5" s="30"/>
    </row>
    <row r="6" spans="1:7" x14ac:dyDescent="0.2">
      <c r="A6" s="4">
        <v>46241</v>
      </c>
      <c r="B6" s="30" t="s">
        <v>175</v>
      </c>
      <c r="C6" s="30" t="s">
        <v>176</v>
      </c>
      <c r="D6" s="30" t="s">
        <v>191</v>
      </c>
      <c r="E6" s="24">
        <v>3200</v>
      </c>
      <c r="F6" s="30" t="s">
        <v>193</v>
      </c>
      <c r="G6" s="30"/>
    </row>
    <row r="7" spans="1:7" x14ac:dyDescent="0.2">
      <c r="A7" s="4">
        <v>46240</v>
      </c>
      <c r="B7" s="30" t="s">
        <v>172</v>
      </c>
      <c r="C7" s="30" t="s">
        <v>173</v>
      </c>
      <c r="D7" s="30" t="s">
        <v>194</v>
      </c>
      <c r="E7" s="24">
        <v>-5000</v>
      </c>
      <c r="F7" s="30" t="s">
        <v>142</v>
      </c>
      <c r="G7" s="30" t="s">
        <v>195</v>
      </c>
    </row>
    <row r="8" spans="1:7" x14ac:dyDescent="0.2">
      <c r="A8" s="4">
        <v>46239</v>
      </c>
      <c r="B8" s="30" t="s">
        <v>179</v>
      </c>
      <c r="C8" s="30" t="s">
        <v>180</v>
      </c>
      <c r="D8" s="30" t="s">
        <v>191</v>
      </c>
      <c r="E8" s="24">
        <v>1800</v>
      </c>
      <c r="F8" s="30" t="s">
        <v>196</v>
      </c>
      <c r="G8" s="30"/>
    </row>
    <row r="9" spans="1:7" x14ac:dyDescent="0.2">
      <c r="A9" s="19"/>
      <c r="B9" s="19"/>
      <c r="C9" s="19"/>
      <c r="D9" s="19"/>
      <c r="E9" s="19"/>
      <c r="F9" s="19"/>
      <c r="G9" s="19"/>
    </row>
    <row r="10" spans="1:7" x14ac:dyDescent="0.2">
      <c r="A10" s="19"/>
      <c r="B10" s="19"/>
      <c r="C10" s="19"/>
      <c r="D10" s="19"/>
      <c r="E10" s="19"/>
      <c r="F10" s="19"/>
      <c r="G10" s="19"/>
    </row>
    <row r="11" spans="1:7" x14ac:dyDescent="0.2">
      <c r="A11" s="19"/>
      <c r="B11" s="19"/>
      <c r="C11" s="19"/>
      <c r="D11" s="19"/>
      <c r="E11" s="19"/>
      <c r="F11" s="19"/>
      <c r="G11" s="19"/>
    </row>
    <row r="12" spans="1:7" x14ac:dyDescent="0.2">
      <c r="A12" s="19"/>
      <c r="B12" s="19"/>
      <c r="C12" s="19"/>
      <c r="D12" s="19"/>
      <c r="E12" s="19"/>
      <c r="F12" s="19"/>
      <c r="G12" s="19"/>
    </row>
    <row r="13" spans="1:7" x14ac:dyDescent="0.2">
      <c r="A13" s="19"/>
      <c r="B13" s="19"/>
      <c r="C13" s="19"/>
      <c r="D13" s="19"/>
      <c r="E13" s="19"/>
      <c r="F13" s="19"/>
      <c r="G13" s="19"/>
    </row>
    <row r="14" spans="1:7" x14ac:dyDescent="0.2">
      <c r="A14" s="19"/>
      <c r="B14" s="19"/>
      <c r="C14" s="19"/>
      <c r="D14" s="19"/>
      <c r="E14" s="19"/>
      <c r="F14" s="19"/>
      <c r="G14" s="19"/>
    </row>
    <row r="15" spans="1:7" x14ac:dyDescent="0.2">
      <c r="A15" s="19"/>
      <c r="B15" s="19"/>
      <c r="C15" s="19"/>
      <c r="D15" s="19"/>
      <c r="E15" s="19"/>
      <c r="F15" s="19"/>
      <c r="G15" s="19"/>
    </row>
    <row r="16" spans="1:7" x14ac:dyDescent="0.2">
      <c r="A16" s="19"/>
      <c r="B16" s="19"/>
      <c r="C16" s="19"/>
      <c r="D16" s="19"/>
      <c r="E16" s="19"/>
      <c r="F16" s="19"/>
      <c r="G16" s="19"/>
    </row>
    <row r="17" spans="1:7" x14ac:dyDescent="0.2">
      <c r="A17" s="19"/>
      <c r="B17" s="19"/>
      <c r="C17" s="19"/>
      <c r="D17" s="19"/>
      <c r="E17" s="19"/>
      <c r="F17" s="19"/>
      <c r="G17" s="19"/>
    </row>
    <row r="18" spans="1:7" x14ac:dyDescent="0.2">
      <c r="A18" s="19"/>
      <c r="B18" s="19"/>
      <c r="C18" s="19"/>
      <c r="D18" s="19"/>
      <c r="E18" s="19"/>
      <c r="F18" s="19"/>
      <c r="G18" s="19"/>
    </row>
    <row r="19" spans="1:7" x14ac:dyDescent="0.2">
      <c r="A19" s="19"/>
      <c r="B19" s="19"/>
      <c r="C19" s="19"/>
      <c r="D19" s="19"/>
      <c r="E19" s="19"/>
      <c r="F19" s="19"/>
      <c r="G19" s="19"/>
    </row>
    <row r="20" spans="1:7" x14ac:dyDescent="0.2">
      <c r="A20" s="19"/>
      <c r="B20" s="19"/>
      <c r="C20" s="19"/>
      <c r="D20" s="19"/>
      <c r="E20" s="19"/>
      <c r="F20" s="19"/>
      <c r="G20" s="19"/>
    </row>
    <row r="21" spans="1:7" x14ac:dyDescent="0.2">
      <c r="A21" s="19"/>
      <c r="B21" s="19"/>
      <c r="C21" s="19"/>
      <c r="D21" s="19"/>
      <c r="E21" s="19"/>
      <c r="F21" s="19"/>
      <c r="G21" s="19"/>
    </row>
    <row r="22" spans="1:7" x14ac:dyDescent="0.2">
      <c r="A22" s="19"/>
      <c r="B22" s="19"/>
      <c r="C22" s="19"/>
      <c r="D22" s="19"/>
      <c r="E22" s="19"/>
      <c r="F22" s="19"/>
      <c r="G22" s="19"/>
    </row>
    <row r="23" spans="1:7" x14ac:dyDescent="0.2">
      <c r="A23" s="19"/>
      <c r="B23" s="19"/>
      <c r="C23" s="19"/>
      <c r="D23" s="19"/>
      <c r="E23" s="19"/>
      <c r="F23" s="19"/>
      <c r="G23" s="19"/>
    </row>
    <row r="24" spans="1:7" x14ac:dyDescent="0.2">
      <c r="A24" s="19"/>
      <c r="B24" s="19"/>
      <c r="C24" s="19"/>
      <c r="D24" s="19"/>
      <c r="E24" s="19"/>
      <c r="F24" s="19"/>
      <c r="G24" s="19"/>
    </row>
    <row r="25" spans="1:7" x14ac:dyDescent="0.2">
      <c r="A25" s="19"/>
      <c r="B25" s="19"/>
      <c r="C25" s="19"/>
      <c r="D25" s="19"/>
      <c r="E25" s="19"/>
      <c r="F25" s="19"/>
      <c r="G25" s="19"/>
    </row>
    <row r="26" spans="1:7" x14ac:dyDescent="0.2">
      <c r="A26" s="19"/>
      <c r="B26" s="19"/>
      <c r="C26" s="19"/>
      <c r="D26" s="19"/>
      <c r="E26" s="19"/>
      <c r="F26" s="19"/>
      <c r="G26" s="19"/>
    </row>
    <row r="27" spans="1:7" x14ac:dyDescent="0.2">
      <c r="A27" s="19"/>
      <c r="B27" s="19"/>
      <c r="C27" s="19"/>
      <c r="D27" s="19"/>
      <c r="E27" s="19"/>
      <c r="F27" s="19"/>
      <c r="G27" s="19"/>
    </row>
    <row r="28" spans="1:7" x14ac:dyDescent="0.2">
      <c r="A28" s="19"/>
      <c r="B28" s="19"/>
      <c r="C28" s="19"/>
      <c r="D28" s="19"/>
      <c r="E28" s="19"/>
      <c r="F28" s="19"/>
      <c r="G28" s="19"/>
    </row>
  </sheetData>
  <mergeCells count="1">
    <mergeCell ref="A1:G1"/>
  </mergeCells>
  <dataValidations count="1">
    <dataValidation type="list" allowBlank="1" sqref="D5:D100" xr:uid="{00000000-0002-0000-0900-000000000000}">
      <formula1>"Credit Sale,Payment Received"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4"/>
  <sheetViews>
    <sheetView zoomScaleNormal="100" workbookViewId="0"/>
  </sheetViews>
  <sheetFormatPr defaultColWidth="8.7421875" defaultRowHeight="15" x14ac:dyDescent="0.2"/>
  <cols>
    <col min="1" max="1" width="34.97265625" customWidth="1"/>
    <col min="2" max="2" width="18.0234375" customWidth="1"/>
    <col min="3" max="6" width="13.98828125" customWidth="1"/>
  </cols>
  <sheetData>
    <row r="1" spans="1:6" ht="22.15" customHeight="1" x14ac:dyDescent="0.2">
      <c r="A1" s="34" t="s">
        <v>197</v>
      </c>
      <c r="B1" s="35"/>
      <c r="C1" s="35"/>
      <c r="D1" s="35"/>
      <c r="E1" s="35"/>
      <c r="F1" s="35"/>
    </row>
    <row r="3" spans="1:6" x14ac:dyDescent="0.2">
      <c r="A3" s="29" t="s">
        <v>198</v>
      </c>
    </row>
    <row r="4" spans="1:6" ht="18" customHeight="1" x14ac:dyDescent="0.2">
      <c r="A4" s="8" t="s">
        <v>199</v>
      </c>
      <c r="B4" s="8" t="s">
        <v>200</v>
      </c>
    </row>
    <row r="5" spans="1:6" x14ac:dyDescent="0.2">
      <c r="A5" s="26" t="s">
        <v>201</v>
      </c>
      <c r="B5" s="21">
        <f>SUM(Sales!G:G)</f>
        <v>0</v>
      </c>
    </row>
    <row r="6" spans="1:6" x14ac:dyDescent="0.2">
      <c r="A6" s="26" t="s">
        <v>202</v>
      </c>
      <c r="B6" s="20">
        <f>SUMIF(Sales!D:D,"Petrol",Sales!E:E)</f>
        <v>0</v>
      </c>
    </row>
    <row r="7" spans="1:6" x14ac:dyDescent="0.2">
      <c r="A7" s="26" t="s">
        <v>203</v>
      </c>
      <c r="B7" s="20">
        <f>SUMIF(Sales!D:D,"Diesel",Sales!E:E)</f>
        <v>0</v>
      </c>
    </row>
    <row r="8" spans="1:6" x14ac:dyDescent="0.2">
      <c r="A8" s="26" t="s">
        <v>204</v>
      </c>
      <c r="B8" s="21">
        <f>SUMIF(Sales!F:F,"Cash",Sales!G:G)</f>
        <v>0</v>
      </c>
    </row>
    <row r="9" spans="1:6" x14ac:dyDescent="0.2">
      <c r="A9" s="26" t="s">
        <v>205</v>
      </c>
      <c r="B9" s="21">
        <f>SUMIF(Sales!F:F,"Credit",Sales!G:G)</f>
        <v>0</v>
      </c>
    </row>
    <row r="11" spans="1:6" x14ac:dyDescent="0.2">
      <c r="A11" s="29" t="s">
        <v>206</v>
      </c>
    </row>
    <row r="12" spans="1:6" x14ac:dyDescent="0.2">
      <c r="A12" t="s">
        <v>207</v>
      </c>
      <c r="B12" s="27">
        <f>SUM(Expenses!D:D)</f>
        <v>10650</v>
      </c>
    </row>
    <row r="14" spans="1:6" x14ac:dyDescent="0.2">
      <c r="A14" s="29" t="s">
        <v>208</v>
      </c>
    </row>
    <row r="15" spans="1:6" x14ac:dyDescent="0.2">
      <c r="A15" t="s">
        <v>209</v>
      </c>
      <c r="B15" s="28">
        <f>B5-B12</f>
        <v>-10650</v>
      </c>
    </row>
    <row r="17" spans="1:6" x14ac:dyDescent="0.2">
      <c r="A17" s="29" t="s">
        <v>210</v>
      </c>
    </row>
    <row r="18" spans="1:6" x14ac:dyDescent="0.2">
      <c r="A18" s="44" t="s">
        <v>211</v>
      </c>
      <c r="B18" s="35"/>
      <c r="C18" s="35"/>
      <c r="D18" s="35"/>
      <c r="E18" s="35"/>
      <c r="F18" s="35"/>
    </row>
    <row r="20" spans="1:6" x14ac:dyDescent="0.2">
      <c r="A20" s="29" t="s">
        <v>212</v>
      </c>
    </row>
    <row r="21" spans="1:6" x14ac:dyDescent="0.2">
      <c r="A21" t="s">
        <v>213</v>
      </c>
    </row>
    <row r="22" spans="1:6" x14ac:dyDescent="0.2">
      <c r="A22" t="s">
        <v>214</v>
      </c>
    </row>
    <row r="23" spans="1:6" x14ac:dyDescent="0.2">
      <c r="A23" t="s">
        <v>215</v>
      </c>
    </row>
    <row r="24" spans="1:6" x14ac:dyDescent="0.2">
      <c r="A24" t="s">
        <v>216</v>
      </c>
    </row>
  </sheetData>
  <mergeCells count="2">
    <mergeCell ref="A1:F1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Dashboard</vt:lpstr>
      <vt:lpstr>Settings</vt:lpstr>
      <vt:lpstr>Meter Readings</vt:lpstr>
      <vt:lpstr>Sales</vt:lpstr>
      <vt:lpstr>Fuel Receipts</vt:lpstr>
      <vt:lpstr>Tank Stock</vt:lpstr>
      <vt:lpstr>Expenses</vt:lpstr>
      <vt:lpstr>Credit Customers</vt:lpstr>
      <vt:lpstr>Credit Transactions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2026-08-09T04:27:47Z</dcterms:created>
  <dcterms:modified xsi:type="dcterms:W3CDTF">2026-08-20T10:00:44Z</dcterms:modified>
  <dc:language>en-US</dc:language>
</cp:coreProperties>
</file>